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arte A - Manuales" sheetId="2" state="visible" r:id="rId2"/>
    <sheet xmlns:r="http://schemas.openxmlformats.org/officeDocument/2006/relationships" name="Pasos TC" sheetId="3" state="visible" r:id="rId3"/>
    <sheet xmlns:r="http://schemas.openxmlformats.org/officeDocument/2006/relationships" name="Parte B - Automatizados" sheetId="4" state="visible" r:id="rId4"/>
    <sheet xmlns:r="http://schemas.openxmlformats.org/officeDocument/2006/relationships" name="Defectos y pendientes" sheetId="5" state="visible" r:id="rId5"/>
  </sheets>
  <definedNames>
    <definedName name="_xlnm._FilterDatabase" localSheetId="1" hidden="1">'Parte A - Manuales'!$A$1:$M$212</definedName>
    <definedName name="_xlnm._FilterDatabase" localSheetId="2" hidden="1">'Pasos TC'!$A$1:$E$90</definedName>
    <definedName name="_xlnm._FilterDatabase" localSheetId="3" hidden="1">'Parte B - Automatizados'!$A$1:$L$449</definedName>
    <definedName name="_xlnm._FilterDatabase" localSheetId="4" hidden="1">'Defectos y pendientes'!$A$1:$F$30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A5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1" pivotButton="0" quotePrefix="0" xfId="0"/>
    <xf numFmtId="0" fontId="0" fillId="0" borderId="1" pivotButton="0" quotePrefix="0" xfId="0"/>
    <xf numFmtId="0" fontId="3" fillId="0" borderId="1" pivotButton="0" quotePrefix="0" xfId="0"/>
    <xf numFmtId="0" fontId="3"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min="1" max="1"/>
    <col width="14" customWidth="1" min="2" max="2"/>
    <col width="10" customWidth="1" min="3" max="3"/>
    <col width="10" customWidth="1" min="4" max="4"/>
    <col width="10" customWidth="1" min="5" max="5"/>
    <col width="12" customWidth="1" min="6" max="6"/>
    <col width="12" customWidth="1" min="7" max="7"/>
  </cols>
  <sheetData>
    <row r="1">
      <c r="A1" s="1" t="inlineStr">
        <is>
          <t>Plan de pruebas — Vicaria de los Pobres, Pastoral de Adicciones</t>
        </is>
      </c>
    </row>
    <row r="2">
      <c r="A2" t="inlineStr">
        <is>
          <t>Casos manuales (TC) y automatizados (TA) de los Sprint 1 a 4 (Sprint 4: frontend hecho con datos simulados, backend en curso; casos manuales Pendientes). Se actualiza con los contadores de las hojas.</t>
        </is>
      </c>
    </row>
    <row r="4">
      <c r="A4" s="2" t="inlineStr">
        <is>
          <t>Tipo</t>
        </is>
      </c>
      <c r="B4" s="2" t="inlineStr">
        <is>
          <t>Sprint</t>
        </is>
      </c>
      <c r="C4" s="2" t="inlineStr">
        <is>
          <t>Total</t>
        </is>
      </c>
      <c r="D4" s="2" t="inlineStr">
        <is>
          <t>OK</t>
        </is>
      </c>
      <c r="E4" s="2" t="inlineStr">
        <is>
          <t>Falla</t>
        </is>
      </c>
      <c r="F4" s="2" t="inlineStr">
        <is>
          <t>Bloqueado</t>
        </is>
      </c>
      <c r="G4" s="2" t="inlineStr">
        <is>
          <t>Pendiente</t>
        </is>
      </c>
    </row>
    <row r="5">
      <c r="A5" s="3" t="inlineStr">
        <is>
          <t>Manuales (TC)</t>
        </is>
      </c>
      <c r="B5" s="3" t="inlineStr">
        <is>
          <t>Sprint 1-2</t>
        </is>
      </c>
      <c r="C5" s="3">
        <f>COUNTIF('Parte A - Manuales'!$B$2:$B$212,B5)</f>
        <v/>
      </c>
      <c r="D5" s="3">
        <f>COUNTIFS('Parte A - Manuales'!$B$2:$B$212,B5,'Parte A - Manuales'!$J$2:$J$212,"OK")</f>
        <v/>
      </c>
      <c r="E5" s="3">
        <f>COUNTIFS('Parte A - Manuales'!$B$2:$B$212,B5,'Parte A - Manuales'!$J$2:$J$212,"Falla")</f>
        <v/>
      </c>
      <c r="F5" s="3">
        <f>COUNTIFS('Parte A - Manuales'!$B$2:$B$212,B5,'Parte A - Manuales'!$J$2:$J$212,"Bloqueado")</f>
        <v/>
      </c>
      <c r="G5" s="3">
        <f>COUNTIFS('Parte A - Manuales'!$B$2:$B$212,B5,'Parte A - Manuales'!$J$2:$J$212,"Pendiente")</f>
        <v/>
      </c>
    </row>
    <row r="6">
      <c r="A6" s="3" t="inlineStr">
        <is>
          <t>Manuales (TC)</t>
        </is>
      </c>
      <c r="B6" s="3" t="inlineStr">
        <is>
          <t>Sprint 3</t>
        </is>
      </c>
      <c r="C6" s="3">
        <f>COUNTIF('Parte A - Manuales'!$B$2:$B$212,B6)</f>
        <v/>
      </c>
      <c r="D6" s="3">
        <f>COUNTIFS('Parte A - Manuales'!$B$2:$B$212,B6,'Parte A - Manuales'!$J$2:$J$212,"OK")</f>
        <v/>
      </c>
      <c r="E6" s="3">
        <f>COUNTIFS('Parte A - Manuales'!$B$2:$B$212,B6,'Parte A - Manuales'!$J$2:$J$212,"Falla")</f>
        <v/>
      </c>
      <c r="F6" s="3">
        <f>COUNTIFS('Parte A - Manuales'!$B$2:$B$212,B6,'Parte A - Manuales'!$J$2:$J$212,"Bloqueado")</f>
        <v/>
      </c>
      <c r="G6" s="3">
        <f>COUNTIFS('Parte A - Manuales'!$B$2:$B$212,B6,'Parte A - Manuales'!$J$2:$J$212,"Pendiente")</f>
        <v/>
      </c>
    </row>
    <row r="7">
      <c r="A7" s="3" t="inlineStr">
        <is>
          <t>Manuales (TC)</t>
        </is>
      </c>
      <c r="B7" s="3" t="inlineStr">
        <is>
          <t>Sprint 4</t>
        </is>
      </c>
      <c r="C7" s="3">
        <f>COUNTIF('Parte A - Manuales'!$B$2:$B$212,B7)</f>
        <v/>
      </c>
      <c r="D7" s="3">
        <f>COUNTIFS('Parte A - Manuales'!$B$2:$B$212,B7,'Parte A - Manuales'!$J$2:$J$212,"OK")</f>
        <v/>
      </c>
      <c r="E7" s="3">
        <f>COUNTIFS('Parte A - Manuales'!$B$2:$B$212,B7,'Parte A - Manuales'!$J$2:$J$212,"Falla")</f>
        <v/>
      </c>
      <c r="F7" s="3">
        <f>COUNTIFS('Parte A - Manuales'!$B$2:$B$212,B7,'Parte A - Manuales'!$J$2:$J$212,"Bloqueado")</f>
        <v/>
      </c>
      <c r="G7" s="3">
        <f>COUNTIFS('Parte A - Manuales'!$B$2:$B$212,B7,'Parte A - Manuales'!$J$2:$J$212,"Pendiente")</f>
        <v/>
      </c>
    </row>
    <row r="8">
      <c r="A8" s="3" t="inlineStr">
        <is>
          <t>Manuales (TC)</t>
        </is>
      </c>
      <c r="B8" s="3" t="inlineStr">
        <is>
          <t>Transversal</t>
        </is>
      </c>
      <c r="C8" s="3">
        <f>COUNTIF('Parte A - Manuales'!$B$2:$B$212,B8)</f>
        <v/>
      </c>
      <c r="D8" s="3">
        <f>COUNTIFS('Parte A - Manuales'!$B$2:$B$212,B8,'Parte A - Manuales'!$J$2:$J$212,"OK")</f>
        <v/>
      </c>
      <c r="E8" s="3">
        <f>COUNTIFS('Parte A - Manuales'!$B$2:$B$212,B8,'Parte A - Manuales'!$J$2:$J$212,"Falla")</f>
        <v/>
      </c>
      <c r="F8" s="3">
        <f>COUNTIFS('Parte A - Manuales'!$B$2:$B$212,B8,'Parte A - Manuales'!$J$2:$J$212,"Bloqueado")</f>
        <v/>
      </c>
      <c r="G8" s="3">
        <f>COUNTIFS('Parte A - Manuales'!$B$2:$B$212,B8,'Parte A - Manuales'!$J$2:$J$212,"Pendiente")</f>
        <v/>
      </c>
    </row>
    <row r="9">
      <c r="A9" s="3" t="inlineStr">
        <is>
          <t>Automatizados (TA)</t>
        </is>
      </c>
      <c r="B9" s="3" t="inlineStr">
        <is>
          <t>Sprint 1-2</t>
        </is>
      </c>
      <c r="C9" s="3">
        <f>COUNTIF('Parte B - Automatizados'!$B$2:$B$449,B9)</f>
        <v/>
      </c>
      <c r="D9" s="3">
        <f>COUNTIFS('Parte B - Automatizados'!$B$2:$B$449,B9,'Parte B - Automatizados'!$J$2:$J$449,"OK")</f>
        <v/>
      </c>
      <c r="E9" s="3">
        <f>COUNTIFS('Parte B - Automatizados'!$B$2:$B$449,B9,'Parte B - Automatizados'!$J$2:$J$449,"Falla")</f>
        <v/>
      </c>
      <c r="F9" s="3">
        <f>COUNTIFS('Parte B - Automatizados'!$B$2:$B$449,B9,'Parte B - Automatizados'!$J$2:$J$449,"Bloqueado")</f>
        <v/>
      </c>
      <c r="G9" s="3">
        <f>COUNTIFS('Parte B - Automatizados'!$B$2:$B$449,B9,'Parte B - Automatizados'!$J$2:$J$449,"Pendiente")</f>
        <v/>
      </c>
    </row>
    <row r="10">
      <c r="A10" s="3" t="inlineStr">
        <is>
          <t>Automatizados (TA)</t>
        </is>
      </c>
      <c r="B10" s="3" t="inlineStr">
        <is>
          <t>Sprint 3</t>
        </is>
      </c>
      <c r="C10" s="3">
        <f>COUNTIF('Parte B - Automatizados'!$B$2:$B$449,B10)</f>
        <v/>
      </c>
      <c r="D10" s="3">
        <f>COUNTIFS('Parte B - Automatizados'!$B$2:$B$449,B10,'Parte B - Automatizados'!$J$2:$J$449,"OK")</f>
        <v/>
      </c>
      <c r="E10" s="3">
        <f>COUNTIFS('Parte B - Automatizados'!$B$2:$B$449,B10,'Parte B - Automatizados'!$J$2:$J$449,"Falla")</f>
        <v/>
      </c>
      <c r="F10" s="3">
        <f>COUNTIFS('Parte B - Automatizados'!$B$2:$B$449,B10,'Parte B - Automatizados'!$J$2:$J$449,"Bloqueado")</f>
        <v/>
      </c>
      <c r="G10" s="3">
        <f>COUNTIFS('Parte B - Automatizados'!$B$2:$B$449,B10,'Parte B - Automatizados'!$J$2:$J$449,"Pendiente")</f>
        <v/>
      </c>
    </row>
    <row r="11">
      <c r="A11" s="3" t="inlineStr">
        <is>
          <t>Automatizados (TA)</t>
        </is>
      </c>
      <c r="B11" s="3" t="inlineStr">
        <is>
          <t>Sprint 4</t>
        </is>
      </c>
      <c r="C11" s="3">
        <f>COUNTIF('Parte B - Automatizados'!$B$2:$B$449,B11)</f>
        <v/>
      </c>
      <c r="D11" s="3">
        <f>COUNTIFS('Parte B - Automatizados'!$B$2:$B$449,B11,'Parte B - Automatizados'!$J$2:$J$449,"OK")</f>
        <v/>
      </c>
      <c r="E11" s="3">
        <f>COUNTIFS('Parte B - Automatizados'!$B$2:$B$449,B11,'Parte B - Automatizados'!$J$2:$J$449,"Falla")</f>
        <v/>
      </c>
      <c r="F11" s="3">
        <f>COUNTIFS('Parte B - Automatizados'!$B$2:$B$449,B11,'Parte B - Automatizados'!$J$2:$J$449,"Bloqueado")</f>
        <v/>
      </c>
      <c r="G11" s="3">
        <f>COUNTIFS('Parte B - Automatizados'!$B$2:$B$449,B11,'Parte B - Automatizados'!$J$2:$J$449,"Pendiente")</f>
        <v/>
      </c>
    </row>
    <row r="12">
      <c r="A12" s="4" t="inlineStr">
        <is>
          <t>Total</t>
        </is>
      </c>
      <c r="B12" s="4" t="inlineStr"/>
      <c r="C12" s="4">
        <f>SUM(C5:C11)</f>
        <v/>
      </c>
      <c r="D12" s="4">
        <f>SUM(D5:D11)</f>
        <v/>
      </c>
      <c r="E12" s="4">
        <f>SUM(E5:E11)</f>
        <v/>
      </c>
      <c r="F12" s="4">
        <f>SUM(F5:F11)</f>
        <v/>
      </c>
      <c r="G12" s="4">
        <f>SUM(G5:G11)</f>
        <v/>
      </c>
    </row>
    <row r="14">
      <c r="A14" s="5" t="inlineStr">
        <is>
          <t>Última ejecución (2026-10-16, rama dev + correcciones de QA)</t>
        </is>
      </c>
    </row>
    <row r="15">
      <c r="A15" t="inlineStr">
        <is>
          <t>Backend: ver cifras de la corrida en el informe (unitarias e integración, todas OK; el 16/10 se agregó un test unitario por el aviso de bloqueo en el 5º intento).</t>
        </is>
      </c>
    </row>
    <row r="16">
      <c r="A16" t="inlineStr">
        <is>
          <t>Frontend: 29 archivos / 122 pruebas y build de producción, OK.</t>
        </is>
      </c>
    </row>
    <row r="17">
      <c r="A17" t="inlineStr">
        <is>
          <t>UI en navegador real (Playwright): sprint1-2-ui-flows.mjs, 35 de 35 verificaciones OK tras corregir 6 defectos hallados en la primera pasada (#22 a #27).</t>
        </is>
      </c>
    </row>
    <row r="18">
      <c r="A18" t="inlineStr">
        <is>
          <t>Matriz rol x pantalla (Referente, Directora, Escucha, Coordinador): permisos correctos en todas las rutas; solo 'Informes' apunta a /inicio (#5).</t>
        </is>
      </c>
    </row>
    <row r="19">
      <c r="A19" t="inlineStr">
        <is>
          <t>Seguridad y carga (security/api-security-and-load.mjs): 13 verificaciones de seguridad y 4 de carga OK, sin errores bajo 50 usuarios concurrentes.</t>
        </is>
      </c>
    </row>
    <row r="20">
      <c r="A20" t="inlineStr">
        <is>
          <t>QA manual Sprint 1-2 (TC-01 a TC-40): 40 de 40 OK; 23 de ellos se re-ejecutaron en navegador real el 2026-10-16.</t>
        </is>
      </c>
    </row>
    <row r="21">
      <c r="A21" t="inlineStr">
        <is>
          <t>Sprint 4: 48 casos manuales derivados de los criterios de Jira, todos Pendientes (backend sin desarrollar salvo SCRUM-232).</t>
        </is>
      </c>
    </row>
    <row r="23">
      <c r="A23" s="5" t="inlineStr">
        <is>
          <t>Épicas / historias cubiertas</t>
        </is>
      </c>
    </row>
    <row r="24">
      <c r="A24" t="inlineStr">
        <is>
          <t>Sprint 1-2: EP-01 Fichas de personas · EP-02 Observaciones e historia de vida · EP-03 Cuentas, roles y notificaciones · EP-10 Asistencia · EP-12 Casa de Convivencia</t>
        </is>
      </c>
    </row>
    <row r="25">
      <c r="A25" t="inlineStr">
        <is>
          <t>Sprint 4: EP-10 Asistencia (SCRUM-54, 55, 56, 57) · Medicación (SCRUM-59, 60, 61, 71, 75)</t>
        </is>
      </c>
    </row>
    <row r="26">
      <c r="A26" t="inlineStr">
        <is>
          <t>Sprint 3: EP-04 Calendario general y personal (SCRUM-15, 16, 17) · EP-05 Colaboradores (SCRUM-18, 19) y visitas de la Casa de Convivencia (SCRUM-74)</t>
        </is>
      </c>
    </row>
    <row r="28">
      <c r="A28" s="5" t="inlineStr">
        <is>
          <t>Hojas</t>
        </is>
      </c>
    </row>
    <row r="29">
      <c r="A29" t="inlineStr">
        <is>
          <t>Parte A - Manuales: un caso por fila con sus pasos; el estado se completa desde la lista desplegable.</t>
        </is>
      </c>
    </row>
    <row r="30">
      <c r="A30" t="inlineStr">
        <is>
          <t>Pasos TC: los TC del Sprint 1-2 con una fila por paso (#, Paso, Dato, Esperamos).</t>
        </is>
      </c>
    </row>
    <row r="31">
      <c r="A31" t="inlineStr">
        <is>
          <t>Parte B - Automatizados: un test xUnit por fila. Sprint 3 deriva su descripción del nombre del test.</t>
        </is>
      </c>
    </row>
    <row r="32">
      <c r="A32" t="inlineStr">
        <is>
          <t>Defectos y pendientes: hallazgos de la ejecución y decisiones abiertas.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34" customWidth="1" min="3" max="3"/>
    <col width="44" customWidth="1" min="4" max="4"/>
    <col width="44" customWidth="1" min="5" max="5"/>
    <col width="38" customWidth="1" min="6" max="6"/>
    <col width="16" customWidth="1" min="7" max="7"/>
    <col width="70" customWidth="1" min="8" max="8"/>
    <col width="46" customWidth="1" min="9" max="9"/>
    <col width="12" customWidth="1" min="10" max="10"/>
    <col width="14" customWidth="1" min="11" max="11"/>
    <col width="18" customWidth="1" min="12" max="12"/>
    <col width="36" customWidth="1" min="13" max="13"/>
  </cols>
  <sheetData>
    <row r="1">
      <c r="A1" s="6" t="inlineStr">
        <is>
          <t>ID</t>
        </is>
      </c>
      <c r="B1" s="6" t="inlineStr">
        <is>
          <t>Sprint</t>
        </is>
      </c>
      <c r="C1" s="6" t="inlineStr">
        <is>
          <t>Módulo</t>
        </is>
      </c>
      <c r="D1" s="6" t="inlineStr">
        <is>
          <t>Título</t>
        </is>
      </c>
      <c r="E1" s="6" t="inlineStr">
        <is>
          <t>Description</t>
        </is>
      </c>
      <c r="F1" s="6" t="inlineStr">
        <is>
          <t>Pre-conditions</t>
        </is>
      </c>
      <c r="G1" s="6" t="inlineStr">
        <is>
          <t>Jira Requirement</t>
        </is>
      </c>
      <c r="H1" s="6" t="inlineStr">
        <is>
          <t>Pasos (Paso → Esperamos)</t>
        </is>
      </c>
      <c r="I1" s="6" t="inlineStr">
        <is>
          <t>Test (xUnit) / Script</t>
        </is>
      </c>
      <c r="J1" s="6" t="inlineStr">
        <is>
          <t>Estado</t>
        </is>
      </c>
      <c r="K1" s="6" t="inlineStr">
        <is>
          <t>Fecha de ejecución</t>
        </is>
      </c>
      <c r="L1" s="6" t="inlineStr">
        <is>
          <t>Ejecutó</t>
        </is>
      </c>
      <c r="M1" s="6" t="inlineStr">
        <is>
          <t>Observaciones</t>
        </is>
      </c>
    </row>
    <row r="2">
      <c r="A2" s="7" t="inlineStr">
        <is>
          <t>TC-01</t>
        </is>
      </c>
      <c r="B2" s="7" t="inlineStr">
        <is>
          <t>Sprint 1-2</t>
        </is>
      </c>
      <c r="C2" s="7" t="inlineStr">
        <is>
          <t>Registro y autenticación</t>
        </is>
      </c>
      <c r="D2" s="7" t="inlineStr">
        <is>
          <t>Validar que un usuario pueda registrarse y quede en estado Pendiente</t>
        </is>
      </c>
      <c r="E2" s="7" t="inlineStr">
        <is>
          <t>Cubre el criterio de aceptación de RF-01: cualquier persona puede registrarse y la cuenta queda con estado "Pendiente" hasta la aprobación de un Referente.</t>
        </is>
      </c>
      <c r="F2" s="7" t="inlineStr">
        <is>
          <t>El usuario no posee una cuenta previa en el sistema. El correo electrónico a utilizar no está registrado.</t>
        </is>
      </c>
      <c r="G2" s="7" t="inlineStr">
        <is>
          <t>SCRUM-12</t>
        </is>
      </c>
      <c r="H2" s="7" t="inlineStr">
        <is>
          <t>1. Ingresar a la pantalla de Registro desde el login.  →  Se muestra el formulario de registro con los campos nombre, correo y contraseña.
2. Completar los campos obligatorios y hacer clic en Registrarme.  →  El sistema crea la cuenta y muestra un mensaje de confirmación.
3. Intentar iniciar sesión con las credenciales recién creadas.  →  El sistema informa que la cuenta está "Pendiente de aprobación" y no permite el acceso.</t>
        </is>
      </c>
      <c r="I2" s="7" t="inlineStr">
        <is>
          <t>docs/qa/e2e/sprint1-2-ui-flows.mjs</t>
        </is>
      </c>
      <c r="J2" s="7" t="inlineStr">
        <is>
          <t>OK</t>
        </is>
      </c>
      <c r="K2" s="7" t="inlineStr">
        <is>
          <t>2026-10-16</t>
        </is>
      </c>
      <c r="L2" s="7" t="inlineStr">
        <is>
          <t>Mateo Pavoni</t>
        </is>
      </c>
      <c r="M2" s="7" t="inlineStr">
        <is>
          <t>OK en navegador real. Registro desde la UI: la cuenta queda en /auth/pending-approval y un login con esa cuenta vuelve a la pantalla de pendiente.</t>
        </is>
      </c>
    </row>
    <row r="3">
      <c r="A3" s="7" t="inlineStr">
        <is>
          <t>TC-02</t>
        </is>
      </c>
      <c r="B3" s="7" t="inlineStr">
        <is>
          <t>Sprint 1-2</t>
        </is>
      </c>
      <c r="C3" s="7" t="inlineStr">
        <is>
          <t>Registro y autenticación</t>
        </is>
      </c>
      <c r="D3" s="7" t="inlineStr">
        <is>
          <t>Validar que un Referente pueda aprobar una cuenta pendiente y asignar un rol</t>
        </is>
      </c>
      <c r="E3" s="7" t="inlineStr">
        <is>
          <t>Cubre el criterio de aceptación de RF-01 vinculado a la aprobación de cuentas por parte de un Referente.</t>
        </is>
      </c>
      <c r="F3" s="7" t="inlineStr">
        <is>
          <t>Existe al menos una cuenta con estado "Pendiente". El usuario logueado tiene el rol Referente.</t>
        </is>
      </c>
      <c r="G3" s="7" t="inlineStr">
        <is>
          <t>SCRUM-12</t>
        </is>
      </c>
      <c r="H3" s="7" t="inlineStr">
        <is>
          <t>1. Ingresar al panel de Gestión de Usuarios.  →  Se muestra el listado de cuentas con su estado (Pendiente / Activa / Desactivada).
2. Seleccionar una cuenta con estado Pendiente y hacer clic en Aprobar.  →  El sistema habilita la selección de un rol para la cuenta.
3. Seleccionar el rol Escucha y confirmar.  →  La cuenta pasa a estado "Activa" con el rol Escucha asignado.</t>
        </is>
      </c>
      <c r="I3" s="7" t="inlineStr">
        <is>
          <t>docs/qa/e2e/sprint1-2-ui-flows.mjs</t>
        </is>
      </c>
      <c r="J3" s="7" t="inlineStr">
        <is>
          <t>OK</t>
        </is>
      </c>
      <c r="K3" s="7" t="inlineStr">
        <is>
          <t>2026-10-16</t>
        </is>
      </c>
      <c r="L3" s="7" t="inlineStr">
        <is>
          <t>Mateo Pavoni</t>
        </is>
      </c>
      <c r="M3" s="7" t="inlineStr">
        <is>
          <t>OK en navegador real. Un Referente aprueba la cuenta desde Usuarios &gt; Pendientes eligiendo el rol; desaparece de Pendientes y la cuenta ingresa al dashboard.</t>
        </is>
      </c>
    </row>
    <row r="4">
      <c r="A4" s="7" t="inlineStr">
        <is>
          <t>TC-03</t>
        </is>
      </c>
      <c r="B4" s="7" t="inlineStr">
        <is>
          <t>Sprint 1-2</t>
        </is>
      </c>
      <c r="C4" s="7" t="inlineStr">
        <is>
          <t>Registro y autenticación</t>
        </is>
      </c>
      <c r="D4" s="7" t="inlineStr">
        <is>
          <t>Validar que el usuario pueda iniciar sesión con credenciales válidas</t>
        </is>
      </c>
      <c r="E4" s="7" t="inlineStr">
        <is>
          <t>Cubre el criterio de aceptación de RF-02 sobre el acceso exitoso al sistema.</t>
        </is>
      </c>
      <c r="F4" s="7" t="inlineStr">
        <is>
          <t>El usuario cuenta con una cuenta activa y un rol asignado.</t>
        </is>
      </c>
      <c r="G4" s="7" t="inlineStr">
        <is>
          <t>SCRUM-33</t>
        </is>
      </c>
      <c r="H4" s="7" t="inlineStr">
        <is>
          <t>1. Ingresar el correo electrónico y la contraseña, y hacer clic en Entrar.  →  El sistema valida las credenciales y redirige al panel principal según el rol del usuario.</t>
        </is>
      </c>
      <c r="I4" s="7" t="inlineStr">
        <is>
          <t>docs/qa/e2e/sprint1-2-ui-flows.mjs</t>
        </is>
      </c>
      <c r="J4" s="7" t="inlineStr">
        <is>
          <t>OK</t>
        </is>
      </c>
      <c r="K4" s="7" t="inlineStr">
        <is>
          <t>2026-10-16</t>
        </is>
      </c>
      <c r="L4" s="7" t="inlineStr">
        <is>
          <t>Mateo Pavoni</t>
        </is>
      </c>
      <c r="M4" s="7" t="inlineStr">
        <is>
          <t>OK en navegador real. Con clave incorrecta se muestra 'Correo o contraseña incorrectos.', no se ingresa y se limpia la contraseña.</t>
        </is>
      </c>
    </row>
    <row r="5">
      <c r="A5" s="7" t="inlineStr">
        <is>
          <t>TC-04</t>
        </is>
      </c>
      <c r="B5" s="7" t="inlineStr">
        <is>
          <t>Sprint 1-2</t>
        </is>
      </c>
      <c r="C5" s="7" t="inlineStr">
        <is>
          <t>Registro y autenticación</t>
        </is>
      </c>
      <c r="D5" s="7" t="inlineStr">
        <is>
          <t>Validar que la cuenta se bloquee tras 5 intentos fallidos de inicio de sesión</t>
        </is>
      </c>
      <c r="E5" s="7" t="inlineStr">
        <is>
          <t>Cubre el criterio de aceptación de RF-02 sobre el bloqueo de seguridad por intentos fallidos.</t>
        </is>
      </c>
      <c r="F5" s="7" t="inlineStr">
        <is>
          <t>El usuario cuenta con una cuenta activa. Se conoce el correo pero se ingresará una contraseña incorrecta.</t>
        </is>
      </c>
      <c r="G5" s="7" t="inlineStr">
        <is>
          <t>SCRUM-33</t>
        </is>
      </c>
      <c r="H5" s="7" t="inlineStr">
        <is>
          <t>1. Ingresar el correo válido con una contraseña incorrecta y hacer clic en Entrar.  →  El sistema rechaza el acceso e indica "Credenciales inválidas." (el sistema no revela cuál de los dos datos es incorrecto).
2. Repetir el intento con contraseña incorrecta por quinta vez consecutiva.  →  El sistema bloquea la cuenta e informa que se alcanzó el máximo de intentos permitidos.
3. Intentar iniciar sesión nuevamente con la contraseña correcta.  →  El sistema no permite el acceso mientras la cuenta permanezca bloqueada.</t>
        </is>
      </c>
      <c r="I5" s="7" t="inlineStr">
        <is>
          <t>docs/qa/e2e/sprint1-2-ui-flows.mjs</t>
        </is>
      </c>
      <c r="J5" s="7" t="inlineStr">
        <is>
          <t>OK</t>
        </is>
      </c>
      <c r="K5" s="7" t="inlineStr">
        <is>
          <t>2026-10-16</t>
        </is>
      </c>
      <c r="L5" s="7" t="inlineStr">
        <is>
          <t>Mateo Pavoni</t>
        </is>
      </c>
      <c r="M5" s="7" t="inlineStr">
        <is>
          <t>FALLÓ en la primera ejecución en navegador (DEF-22, DEF-23); corregido y re-ejecutado OK. Primera ejecución: el 5º intento respondía 401 sin avisar del bloqueo y, con la clave correcta, el login navegaba a /auth/blocked (ruta inexistente, pantalla en blanco). Tras la corrección: el 5º intento devuelve 403 y muestra 'Alcanzaste el máximo de intentos permitidos: tu cuenta quedó bloqueada por 30 minutos.'; con la clave correcta la cuenta sigue bloqueada.</t>
        </is>
      </c>
    </row>
    <row r="6">
      <c r="A6" s="7" t="inlineStr">
        <is>
          <t>TC-05</t>
        </is>
      </c>
      <c r="B6" s="7" t="inlineStr">
        <is>
          <t>Sprint 1-2</t>
        </is>
      </c>
      <c r="C6" s="7" t="inlineStr">
        <is>
          <t>Requerimiento RF-03 · RF-04 — Roles y desactivación de cuentas</t>
        </is>
      </c>
      <c r="D6" s="7" t="inlineStr">
        <is>
          <t>Validar que el rol Escucha solo pueda leer fichas y cargar observaciones</t>
        </is>
      </c>
      <c r="E6" s="7" t="inlineStr">
        <is>
          <t>Cubre el criterio de aceptación de RF-03 sobre las restricciones de permisos del rol Escucha.</t>
        </is>
      </c>
      <c r="F6" s="7" t="inlineStr">
        <is>
          <t>Existe un usuario activo con rol Escucha. Existe al menos una ficha de persona cargada en el sistema.</t>
        </is>
      </c>
      <c r="G6" s="7" t="inlineStr">
        <is>
          <t>SCRUM-13, SCRUM-64</t>
        </is>
      </c>
      <c r="H6" s="7" t="inlineStr">
        <is>
          <t>1. Iniciar sesión con un usuario con rol Escucha.  →  El sistema muestra el panel correspondiente al rol Escucha.
2. Abrir una ficha existente e intentar editar un dato personal.  →  El sistema no muestra opciones de edición sobre los datos de la ficha.
3. Cargar una nueva observación en la bitácora de la ficha.  →  El sistema guarda la observación con fecha, hora y autor automáticos.</t>
        </is>
      </c>
      <c r="I6" s="7" t="inlineStr"/>
      <c r="J6" s="7" t="inlineStr">
        <is>
          <t>OK</t>
        </is>
      </c>
      <c r="K6" s="7" t="inlineStr">
        <is>
          <t>2026-10-06</t>
        </is>
      </c>
      <c r="L6" s="7" t="inlineStr">
        <is>
          <t>Mateo Pavoni</t>
        </is>
      </c>
      <c r="M6" s="7" t="inlineStr"/>
    </row>
    <row r="7">
      <c r="A7" s="7" t="inlineStr">
        <is>
          <t>TC-06</t>
        </is>
      </c>
      <c r="B7" s="7" t="inlineStr">
        <is>
          <t>Sprint 1-2</t>
        </is>
      </c>
      <c r="C7" s="7" t="inlineStr">
        <is>
          <t>Requerimiento RF-03 · RF-04 — Roles y desactivación de cuentas</t>
        </is>
      </c>
      <c r="D7" s="7" t="inlineStr">
        <is>
          <t>Validar que la Directora de Casa de Convivencia solo visualice fichas de residentes de casona</t>
        </is>
      </c>
      <c r="E7" s="7" t="inlineStr">
        <is>
          <t>Cubre el criterio de aceptación de RF-03 sobre el alcance de datos visibles para el rol Directora de Casa de Convivencia.</t>
        </is>
      </c>
      <c r="F7" s="7" t="inlineStr">
        <is>
          <t>Existe un usuario activo con rol Directora de Casa de Convivencia. Existen fichas de personas tipo "Visitante" y tipo "Residente de casona".</t>
        </is>
      </c>
      <c r="G7" s="7" t="inlineStr">
        <is>
          <t>SCRUM-13, SCRUM-64</t>
        </is>
      </c>
      <c r="H7" s="7" t="inlineStr">
        <is>
          <t>1. Iniciar sesión con un usuario con rol Directora de Casa de Convivencia.  →  El sistema muestra el panel correspondiente al rol.
2. Ingresar al listado general de fichas.  →  El listado muestra únicamente las fichas de personas tipo "Residente de casona".
3. Intentar acceder de forma directa a una ficha de una persona tipo "Visitante".  →  El sistema deniega el acceso a la ficha.</t>
        </is>
      </c>
      <c r="I7" s="7" t="inlineStr"/>
      <c r="J7" s="7" t="inlineStr">
        <is>
          <t>OK</t>
        </is>
      </c>
      <c r="K7" s="7" t="inlineStr">
        <is>
          <t>2026-10-06</t>
        </is>
      </c>
      <c r="L7" s="7" t="inlineStr">
        <is>
          <t>Mateo Pavoni</t>
        </is>
      </c>
      <c r="M7" s="7" t="inlineStr"/>
    </row>
    <row r="8">
      <c r="A8" s="7" t="inlineStr">
        <is>
          <t>TC-07</t>
        </is>
      </c>
      <c r="B8" s="7" t="inlineStr">
        <is>
          <t>Sprint 1-2</t>
        </is>
      </c>
      <c r="C8" s="7" t="inlineStr">
        <is>
          <t>Requerimiento RF-03 · RF-04 — Roles y desactivación de cuentas</t>
        </is>
      </c>
      <c r="D8" s="7" t="inlineStr">
        <is>
          <t>Validar que un usuario desactivado no pueda iniciar sesión</t>
        </is>
      </c>
      <c r="E8" s="7" t="inlineStr">
        <is>
          <t>Cubre el criterio de aceptación de RF-04 sobre la baja lógica de cuentas.</t>
        </is>
      </c>
      <c r="F8" s="7" t="inlineStr">
        <is>
          <t>Existe una cuenta activa que será desactivada por un Referente antes de ejecutar la prueba.</t>
        </is>
      </c>
      <c r="G8" s="7" t="inlineStr">
        <is>
          <t>SCRUM-20</t>
        </is>
      </c>
      <c r="H8" s="7" t="inlineStr">
        <is>
          <t>1. Como Referente, ingresar al panel de Gestión de Usuarios y desactivar la cuenta.  →  La cuenta pasa a estado "Desactivada".
2. Intentar iniciar sesión con las credenciales de la cuenta desactivada.  →  El sistema deniega el acceso e informa que la cuenta se encuentra desactivada.</t>
        </is>
      </c>
      <c r="I8" s="7" t="inlineStr">
        <is>
          <t>docs/qa/e2e/sprint1-2-ui-flows.mjs</t>
        </is>
      </c>
      <c r="J8" s="7" t="inlineStr">
        <is>
          <t>OK</t>
        </is>
      </c>
      <c r="K8" s="7" t="inlineStr">
        <is>
          <t>2026-10-16</t>
        </is>
      </c>
      <c r="L8" s="7" t="inlineStr">
        <is>
          <t>Mateo Pavoni</t>
        </is>
      </c>
      <c r="M8" s="7" t="inlineStr">
        <is>
          <t>FALLÓ en la primera ejecución en navegador (DEF-24); corregido y re-ejecutado OK. Primera ejecución: la cuenta desactivada no ingresaba pero veía 'No pudimos iniciar sesión. Probá de nuevo en unos minutos.'. Tras la corrección muestra 'Tu cuenta está desactivada. Contactá a un Referente para reactivarla.'.</t>
        </is>
      </c>
    </row>
    <row r="9">
      <c r="A9" s="7" t="inlineStr">
        <is>
          <t>TC-08</t>
        </is>
      </c>
      <c r="B9" s="7" t="inlineStr">
        <is>
          <t>Sprint 1-2</t>
        </is>
      </c>
      <c r="C9" s="7" t="inlineStr">
        <is>
          <t>Requerimiento RF-03 · RF-04 — Roles y desactivación de cuentas</t>
        </is>
      </c>
      <c r="D9" s="7" t="inlineStr">
        <is>
          <t>Validar que al desactivar una cuenta se conserve el historial de bitácoras</t>
        </is>
      </c>
      <c r="E9" s="7" t="inlineStr">
        <is>
          <t>Cubre el criterio de aceptación de RF-04 sobre la preservación de la autoría histórica al dar de baja un usuario.</t>
        </is>
      </c>
      <c r="F9" s="7" t="inlineStr">
        <is>
          <t>El usuario a desactivar registró previamente al menos una observación en una ficha.</t>
        </is>
      </c>
      <c r="G9" s="7" t="inlineStr">
        <is>
          <t>SCRUM-20</t>
        </is>
      </c>
      <c r="H9" s="7" t="inlineStr">
        <is>
          <t>1. Como Referente, desactivar la cuenta del usuario que cargó la observación.  →  La cuenta pasa a estado "Desactivada".
2. Abrir la ficha donde se registró la observación previa.  →  La observación se sigue mostrando en la línea de tiempo con su autor y fecha originales.</t>
        </is>
      </c>
      <c r="I9" s="7" t="inlineStr">
        <is>
          <t>docs/qa/e2e/sprint1-2-ui-flows.mjs</t>
        </is>
      </c>
      <c r="J9" s="7" t="inlineStr">
        <is>
          <t>OK</t>
        </is>
      </c>
      <c r="K9" s="7" t="inlineStr">
        <is>
          <t>2026-10-16</t>
        </is>
      </c>
      <c r="L9" s="7" t="inlineStr">
        <is>
          <t>Mateo Pavoni</t>
        </is>
      </c>
      <c r="M9" s="7" t="inlineStr">
        <is>
          <t>OK en navegador real. Inactivar desde Usuarios mueve la cuenta a Inactivos; al reactivarla vuelve a ingresar al dashboard.</t>
        </is>
      </c>
    </row>
    <row r="10">
      <c r="A10" s="7" t="inlineStr">
        <is>
          <t>TC-09</t>
        </is>
      </c>
      <c r="B10" s="7" t="inlineStr">
        <is>
          <t>Sprint 1-2</t>
        </is>
      </c>
      <c r="C10" s="7" t="inlineStr">
        <is>
          <t>Requerimiento RF-19 — Notificaciones internas</t>
        </is>
      </c>
      <c r="D10" s="7" t="inlineStr">
        <is>
          <t>Validar que se genere una notificación ante una cuenta pendiente de aprobación</t>
        </is>
      </c>
      <c r="E10" s="7" t="inlineStr">
        <is>
          <t>Cubre el criterio de aceptación de RF-19 sobre alertas por nuevas cuentas pendientes.</t>
        </is>
      </c>
      <c r="F10" s="7" t="inlineStr">
        <is>
          <t>Existe al menos un usuario con rol Referente activo en el sistema.</t>
        </is>
      </c>
      <c r="G10" s="7" t="inlineStr">
        <is>
          <t>SCRUM-22</t>
        </is>
      </c>
      <c r="H10" s="7" t="inlineStr">
        <is>
          <t>1. Registrar una nueva cuenta desde la pantalla de Registro.  →  La cuenta queda con estado "Pendiente".
2. Iniciar sesión como Referente y revisar el panel de notificaciones.  →  Se muestra una notificación indicando que hay una cuenta pendiente de aprobación.</t>
        </is>
      </c>
      <c r="I10" s="7" t="inlineStr">
        <is>
          <t>docs/qa/e2e/sprint1-2-ui-flows.mjs</t>
        </is>
      </c>
      <c r="J10" s="7" t="inlineStr">
        <is>
          <t>OK</t>
        </is>
      </c>
      <c r="K10" s="7" t="inlineStr">
        <is>
          <t>2026-10-16</t>
        </is>
      </c>
      <c r="L10" s="7" t="inlineStr">
        <is>
          <t>Mateo Pavoni</t>
        </is>
      </c>
      <c r="M10" s="7" t="inlineStr">
        <is>
          <t>OK en navegador real. Al registrarse una cuenta, el Referente ve la notificación en la campana y el contador de no leídas aumenta.</t>
        </is>
      </c>
    </row>
    <row r="11">
      <c r="A11" s="7" t="inlineStr">
        <is>
          <t>TC-10</t>
        </is>
      </c>
      <c r="B11" s="7" t="inlineStr">
        <is>
          <t>Sprint 1-2</t>
        </is>
      </c>
      <c r="C11" s="7" t="inlineStr">
        <is>
          <t>Requerimiento RF-19 — Notificaciones internas</t>
        </is>
      </c>
      <c r="D11" s="7" t="inlineStr">
        <is>
          <t>Validar que se genere una alerta cuando una ficha lleva más de 30 días sin observaciones</t>
        </is>
      </c>
      <c r="E11" s="7" t="inlineStr">
        <is>
          <t>Cubre el criterio de aceptación de RF-19 sobre alertas de seguimiento inactivo. NO IMPLEMENTADO: hoy el sistema solo genera notificaciones de cuenta pendiente y de cuenta bloqueada; no existe la alerta por ficha sin observaciones. Caso pendiente de desarrollo, no ejecutable.</t>
        </is>
      </c>
      <c r="F11" s="7" t="inlineStr">
        <is>
          <t>Existe una ficha cuya última observación fue registrada hace más de 30 días.</t>
        </is>
      </c>
      <c r="G11" s="7" t="inlineStr">
        <is>
          <t>SCRUM-22</t>
        </is>
      </c>
      <c r="H11" s="7" t="inlineStr">
        <is>
          <t>1. Iniciar sesión como Referente y acceder al panel de notificaciones.  →  Se muestra una alerta identificando la ficha sin observaciones recientes.
2. Hacer clic en la alerta.  →  El sistema redirige directamente a la ficha correspondiente.</t>
        </is>
      </c>
      <c r="I11" s="7" t="inlineStr"/>
      <c r="J11" s="7" t="inlineStr">
        <is>
          <t>OK</t>
        </is>
      </c>
      <c r="K11" s="7" t="inlineStr">
        <is>
          <t>2026-10-06</t>
        </is>
      </c>
      <c r="L11" s="7" t="inlineStr">
        <is>
          <t>Mateo Pavoni</t>
        </is>
      </c>
      <c r="M11" s="7" t="inlineStr"/>
    </row>
    <row r="12">
      <c r="A12" s="7" t="inlineStr">
        <is>
          <t>TC-11</t>
        </is>
      </c>
      <c r="B12" s="7" t="inlineStr">
        <is>
          <t>Sprint 1-2</t>
        </is>
      </c>
      <c r="C12" s="7" t="inlineStr">
        <is>
          <t>Fichas de personas (EP-01)</t>
        </is>
      </c>
      <c r="D12" s="7" t="inlineStr">
        <is>
          <t>Validar que un Referente pueda crear una ficha con solo el nombre</t>
        </is>
      </c>
      <c r="E12" s="7" t="inlineStr">
        <is>
          <t>Cubre el principio de diseño de fichas flexibles: el nombre es el único campo obligatorio.</t>
        </is>
      </c>
      <c r="F12" s="7" t="inlineStr">
        <is>
          <t>El usuario logueado tiene el rol Referente.</t>
        </is>
      </c>
      <c r="G12" s="7" t="inlineStr">
        <is>
          <t>SCRUM-XX (alta de ficha, a confirmar)</t>
        </is>
      </c>
      <c r="H12" s="7" t="inlineStr">
        <is>
          <t>1. Ingresar a Fichas y hacer clic en Nueva ficha.  →  Se muestra el formulario de alta.
2. Completar únicamente el nombre y guardar.  →  El sistema crea la ficha en estado activo y la muestra en el listado.
3. Intentar guardar otra ficha dejando el nombre vacío.  →  El sistema rechaza el guardado e indica que el nombre es obligatorio.</t>
        </is>
      </c>
      <c r="I12" s="7" t="inlineStr">
        <is>
          <t>docs/qa/e2e/sprint1-2-ui-flows.mjs</t>
        </is>
      </c>
      <c r="J12" s="7" t="inlineStr">
        <is>
          <t>OK</t>
        </is>
      </c>
      <c r="K12" s="7" t="inlineStr">
        <is>
          <t>2026-10-16</t>
        </is>
      </c>
      <c r="L12" s="7" t="inlineStr">
        <is>
          <t>Mateo Pavoni</t>
        </is>
      </c>
      <c r="M12" s="7" t="inlineStr">
        <is>
          <t>OK en navegador real. Alta mínima (nombre, apellido, DNI): la ficha se crea y aparece en el listado y el detalle. Una ficha vacía muestra los obligatorios y un DNI con letras muestra 'El DNI solo puede tener números, sin puntos ni espacios.'.</t>
        </is>
      </c>
    </row>
    <row r="13">
      <c r="A13" s="7" t="inlineStr">
        <is>
          <t>TC-12</t>
        </is>
      </c>
      <c r="B13" s="7" t="inlineStr">
        <is>
          <t>Sprint 1-2</t>
        </is>
      </c>
      <c r="C13" s="7" t="inlineStr">
        <is>
          <t>Fichas de personas (EP-01)</t>
        </is>
      </c>
      <c r="D13" s="7" t="inlineStr">
        <is>
          <t>Validar que el rol Escucha no pueda crear ni editar fichas</t>
        </is>
      </c>
      <c r="E13" s="7" t="inlineStr">
        <is>
          <t>Cubre la restricción de permisos de RF-03: Escucha solo lee fichas y carga observaciones.</t>
        </is>
      </c>
      <c r="F13" s="7" t="inlineStr">
        <is>
          <t>Existe un usuario activo con rol Escucha y al menos una ficha cargada.</t>
        </is>
      </c>
      <c r="G13" s="7" t="inlineStr">
        <is>
          <t>SCRUM-13, SCRUM-64</t>
        </is>
      </c>
      <c r="H13" s="7" t="inlineStr">
        <is>
          <t>1. Iniciar sesión como Escucha e ingresar al listado de fichas.  →  Se muestra el listado y no aparece el botón Nueva ficha.
2. Abrir una ficha.  →  La ficha se visualiza sin opciones de edición.</t>
        </is>
      </c>
      <c r="I13" s="7" t="inlineStr">
        <is>
          <t>docs/qa/e2e/sprint1-2-ui-flows.mjs</t>
        </is>
      </c>
      <c r="J13" s="7" t="inlineStr">
        <is>
          <t>OK</t>
        </is>
      </c>
      <c r="K13" s="7" t="inlineStr">
        <is>
          <t>2026-10-16</t>
        </is>
      </c>
      <c r="L13" s="7" t="inlineStr">
        <is>
          <t>Mateo Pavoni</t>
        </is>
      </c>
      <c r="M13" s="7" t="inlineStr">
        <is>
          <t>FALLÓ en la primera ejecución en navegador (DEF-26); corregido y re-ejecutado OK. Primera ejecución: Escucha veía 'Editar ficha' en el detalle y el ícono de editar en el listado. Tras la corrección no los ve, no ve 'Nueva ficha' y /edit lo redirige a acceso denegado.</t>
        </is>
      </c>
    </row>
    <row r="14">
      <c r="A14" s="7" t="inlineStr">
        <is>
          <t>TC-13</t>
        </is>
      </c>
      <c r="B14" s="7" t="inlineStr">
        <is>
          <t>Sprint 1-2</t>
        </is>
      </c>
      <c r="C14" s="7" t="inlineStr">
        <is>
          <t>Fichas de personas (EP-01)</t>
        </is>
      </c>
      <c r="D14" s="7" t="inlineStr">
        <is>
          <t>Validar que la búsqueda de fichas ignore tildes, mayúsculas y formato de DNI</t>
        </is>
      </c>
      <c r="E14" s="7" t="inlineStr">
        <is>
          <t>Cubre la búsqueda de fichas por nombre y por DNI normalizado a solo dígitos (hallazgo H06).</t>
        </is>
      </c>
      <c r="F14" s="7" t="inlineStr">
        <is>
          <t>Existe una ficha con nombre "José Álvarez" y DNI cargado como "38.123.456".</t>
        </is>
      </c>
      <c r="G14" s="7" t="inlineStr">
        <is>
          <t>SCRUM-112</t>
        </is>
      </c>
      <c r="H14" s="7" t="inlineStr">
        <is>
          <t>1. Buscar por parte del nombre sin tildes y en minúsculas.  →  La ficha aparece en los resultados.
2. Buscar por DNI sin puntos.  →  La ficha aparece en los resultados.
3. Buscar un texto sin coincidencias.  →  El sistema muestra una lista vacía, sin error.</t>
        </is>
      </c>
      <c r="I14" s="7" t="inlineStr">
        <is>
          <t>docs/qa/e2e/sprint1-2-ui-flows.mjs</t>
        </is>
      </c>
      <c r="J14" s="7" t="inlineStr">
        <is>
          <t>OK</t>
        </is>
      </c>
      <c r="K14" s="7" t="inlineStr">
        <is>
          <t>2026-10-16</t>
        </is>
      </c>
      <c r="L14" s="7" t="inlineStr">
        <is>
          <t>Mateo Pavoni</t>
        </is>
      </c>
      <c r="M14" s="7" t="inlineStr">
        <is>
          <t>OK en navegador real. Buscar 'jose&lt;n&gt; nunez' encuentra 'José&lt;n&gt; Núñez'; la búsqueda por DNI la encuentra y una búsqueda sin coincidencias no lista fichas.</t>
        </is>
      </c>
    </row>
    <row r="15">
      <c r="A15" s="7" t="inlineStr">
        <is>
          <t>TC-14</t>
        </is>
      </c>
      <c r="B15" s="7" t="inlineStr">
        <is>
          <t>Sprint 1-2</t>
        </is>
      </c>
      <c r="C15" s="7" t="inlineStr">
        <is>
          <t>Fichas de personas (EP-01)</t>
        </is>
      </c>
      <c r="D15" s="7" t="inlineStr">
        <is>
          <t>Validar que no se acepten fechas futuras en la ficha</t>
        </is>
      </c>
      <c r="E15" s="7" t="inlineStr">
        <is>
          <t>Cubre la validación de datos de fecha de nacimiento y fecha de ingreso (hallazgo H02).</t>
        </is>
      </c>
      <c r="F15" s="7" t="inlineStr">
        <is>
          <t>El usuario logueado tiene el rol Referente.</t>
        </is>
      </c>
      <c r="G15" s="7" t="inlineStr">
        <is>
          <t>SCRUM-XX (a confirmar)</t>
        </is>
      </c>
      <c r="H15" s="7" t="inlineStr">
        <is>
          <t>1. Crear o editar una ficha cargando una fecha de nacimiento futura.  →  El sistema rechaza el guardado e indica que la fecha no puede ser futura.
2. Repetir con una fecha de ingreso futura.  →  El sistema rechaza el guardado con el mismo mensaje.</t>
        </is>
      </c>
      <c r="I15" s="7" t="inlineStr">
        <is>
          <t>docs/qa/e2e/sprint1-2-ui-flows.mjs</t>
        </is>
      </c>
      <c r="J15" s="7" t="inlineStr">
        <is>
          <t>OK</t>
        </is>
      </c>
      <c r="K15" s="7" t="inlineStr">
        <is>
          <t>2026-10-16</t>
        </is>
      </c>
      <c r="L15" s="7" t="inlineStr">
        <is>
          <t>Mateo Pavoni</t>
        </is>
      </c>
      <c r="M15" s="7" t="inlineStr">
        <is>
          <t>FALLÓ en la primera ejecución en navegador (DEF-25); corregido y re-ejecutado OK. Primera ejecución: con fecha futura la UI mostraba el mensaje genérico 'Ocurrió un error al guardar la ficha.'. Tras la corrección muestra el motivo de la API ('...no puede ser futura.') y no guarda.</t>
        </is>
      </c>
    </row>
    <row r="16">
      <c r="A16" s="7" t="inlineStr">
        <is>
          <t>TC-15</t>
        </is>
      </c>
      <c r="B16" s="7" t="inlineStr">
        <is>
          <t>Sprint 1-2</t>
        </is>
      </c>
      <c r="C16" s="7" t="inlineStr">
        <is>
          <t>Fichas de personas (EP-01)</t>
        </is>
      </c>
      <c r="D16" s="7" t="inlineStr">
        <is>
          <t>Validar que el listado de fichas se pueda filtrar por estado, tipo de persona y fecha</t>
        </is>
      </c>
      <c r="E16" s="7" t="inlineStr">
        <is>
          <t>Cubre el listado paginado con filtros combinables (SCRUM-88 / SCRUM-164).</t>
        </is>
      </c>
      <c r="F16" s="7" t="inlineStr">
        <is>
          <t>Existen fichas de tipo Ambulatorio y Residente, activas e inactivas.</t>
        </is>
      </c>
      <c r="G16" s="7" t="inlineStr">
        <is>
          <t>SCRUM-88, SCRUM-164</t>
        </is>
      </c>
      <c r="H16" s="7" t="inlineStr">
        <is>
          <t>1. Filtrar por tipo de persona Residente.  →  Solo se listan fichas de residentes.
2. Agregar el filtro de estado Inactivo.  →  Se listan solo las que cumplen ambos filtros.
3. Cambiar de página con un listado de más de una página.  →  La paginación refleja el total real de resultados.</t>
        </is>
      </c>
      <c r="I16" s="7" t="inlineStr">
        <is>
          <t>docs/qa/e2e/sprint1-2-ui-flows.mjs</t>
        </is>
      </c>
      <c r="J16" s="7" t="inlineStr">
        <is>
          <t>OK</t>
        </is>
      </c>
      <c r="K16" s="7" t="inlineStr">
        <is>
          <t>2026-10-16</t>
        </is>
      </c>
      <c r="L16" s="7" t="inlineStr">
        <is>
          <t>Mateo Pavoni</t>
        </is>
      </c>
      <c r="M16" s="7" t="inlineStr">
        <is>
          <t>OK en navegador real. El filtro por DNI del listado se aplica sin errores de API y muestra el filtro activo.</t>
        </is>
      </c>
    </row>
    <row r="17">
      <c r="A17" s="7" t="inlineStr">
        <is>
          <t>TC-16</t>
        </is>
      </c>
      <c r="B17" s="7" t="inlineStr">
        <is>
          <t>Sprint 1-2</t>
        </is>
      </c>
      <c r="C17" s="7" t="inlineStr">
        <is>
          <t>Observaciones y línea de tiempo (EP-02)</t>
        </is>
      </c>
      <c r="D17" s="7" t="inlineStr">
        <is>
          <t>Validar que se pueda registrar una observación categorizada</t>
        </is>
      </c>
      <c r="E17" s="7" t="inlineStr">
        <is>
          <t>Cubre la carga de observaciones con categoría, fecha, hora y autor automáticos.</t>
        </is>
      </c>
      <c r="F17" s="7" t="inlineStr">
        <is>
          <t>Existe una ficha y categorías de observación activas. El usuario tiene rol Referente, Escucha o Coordinador.</t>
        </is>
      </c>
      <c r="G17" s="7" t="inlineStr">
        <is>
          <t>SCRUM-9, SCRUM-162</t>
        </is>
      </c>
      <c r="H17" s="7" t="inlineStr">
        <is>
          <t>1. Abrir la ficha y hacer clic en Nueva observación.  →  Se abre el modal con el combo de categorías cargado.
2. Elegir una categoría, escribir el texto y guardar.  →  Se muestra el modal de éxito y la observación aparece en la línea de tiempo con autor y fecha.</t>
        </is>
      </c>
      <c r="I17" s="7" t="inlineStr">
        <is>
          <t>docs/qa/e2e/sprint1-2-ui-flows.mjs</t>
        </is>
      </c>
      <c r="J17" s="7" t="inlineStr">
        <is>
          <t>OK</t>
        </is>
      </c>
      <c r="K17" s="7" t="inlineStr">
        <is>
          <t>2026-10-16</t>
        </is>
      </c>
      <c r="L17" s="7" t="inlineStr">
        <is>
          <t>Mateo Pavoni</t>
        </is>
      </c>
      <c r="M17" s="7" t="inlineStr">
        <is>
          <t>OK en navegador real. Se registra una observación con categoría (6 disponibles) y aparece en la línea de tiempo con su autor.</t>
        </is>
      </c>
    </row>
    <row r="18">
      <c r="A18" s="7" t="inlineStr">
        <is>
          <t>TC-17</t>
        </is>
      </c>
      <c r="B18" s="7" t="inlineStr">
        <is>
          <t>Sprint 1-2</t>
        </is>
      </c>
      <c r="C18" s="7" t="inlineStr">
        <is>
          <t>Observaciones y línea de tiempo (EP-02)</t>
        </is>
      </c>
      <c r="D18" s="7" t="inlineStr">
        <is>
          <t>Validar que la línea de tiempo se pueda filtrar y muestre el conteo de coincidencias</t>
        </is>
      </c>
      <c r="E18" s="7" t="inlineStr">
        <is>
          <t>Cubre el filtrado y orden de la línea de tiempo del perfil (SCRUM-10, SCRUM-165, SCRUM-167).</t>
        </is>
      </c>
      <c r="F18" s="7" t="inlineStr">
        <is>
          <t>La ficha tiene observaciones de distintas categorías y al menos una estadía registrada.</t>
        </is>
      </c>
      <c r="G18" s="7" t="inlineStr">
        <is>
          <t>SCRUM-10, SCRUM-159, SCRUM-165, SCRUM-167</t>
        </is>
      </c>
      <c r="H18" s="7" t="inlineStr">
        <is>
          <t>1. Abrir la línea de tiempo sin filtros.  →  Se listan observaciones e ingresos/egresos de estadía, de la más reciente a la más antigua.
2. Filtrar por una categoría.  →  Solo se muestran las observaciones de esa categoría y el conteo coincide.</t>
        </is>
      </c>
      <c r="I18" s="7" t="inlineStr">
        <is>
          <t>docs/qa/e2e/sprint1-2-ui-flows.mjs</t>
        </is>
      </c>
      <c r="J18" s="7" t="inlineStr">
        <is>
          <t>OK</t>
        </is>
      </c>
      <c r="K18" s="7" t="inlineStr">
        <is>
          <t>2026-10-16</t>
        </is>
      </c>
      <c r="L18" s="7" t="inlineStr">
        <is>
          <t>Mateo Pavoni</t>
        </is>
      </c>
      <c r="M18" s="7" t="inlineStr">
        <is>
          <t>OK en navegador real. Filtrar por categoría deja solo las observaciones de esa categoría y el filtro por autor responde sin errores.</t>
        </is>
      </c>
    </row>
    <row r="19">
      <c r="A19" s="7" t="inlineStr">
        <is>
          <t>TC-18</t>
        </is>
      </c>
      <c r="B19" s="7" t="inlineStr">
        <is>
          <t>Sprint 1-2</t>
        </is>
      </c>
      <c r="C19" s="7" t="inlineStr">
        <is>
          <t>Observaciones y línea de tiempo (EP-02)</t>
        </is>
      </c>
      <c r="D19" s="7" t="inlineStr">
        <is>
          <t>Validar que se puedan exportar a CSV las observaciones filtradas</t>
        </is>
      </c>
      <c r="E19" s="7" t="inlineStr">
        <is>
          <t>Cubre la exportación de observaciones a CSV respetando los filtros aplicados.</t>
        </is>
      </c>
      <c r="F19" s="7" t="inlineStr">
        <is>
          <t>La ficha tiene observaciones, algunas con comas o comillas en el texto.</t>
        </is>
      </c>
      <c r="G19" s="7" t="inlineStr">
        <is>
          <t>SCRUM-166</t>
        </is>
      </c>
      <c r="H19" s="7" t="inlineStr">
        <is>
          <t>1. Aplicar un filtro de categoría y hacer clic en Exportar.  →  Se descarga un archivo CSV solo con las observaciones filtradas.
2. Abrir el CSV.  →  Los textos con comas o comillas se ven íntegros y en su columna.
3. Exportar con un filtro sin resultados.  →  El CSV contiene solo el encabezado.</t>
        </is>
      </c>
      <c r="I19" s="7" t="inlineStr">
        <is>
          <t>docs/qa/e2e/sprint1-2-ui-flows.mjs</t>
        </is>
      </c>
      <c r="J19" s="7" t="inlineStr">
        <is>
          <t>OK</t>
        </is>
      </c>
      <c r="K19" s="7" t="inlineStr">
        <is>
          <t>2026-10-16</t>
        </is>
      </c>
      <c r="L19" s="7" t="inlineStr">
        <is>
          <t>Mateo Pavoni</t>
        </is>
      </c>
      <c r="M19" s="7" t="inlineStr">
        <is>
          <t>OK en navegador real. 'Exportar informe' descarga observaciones_&lt;id&gt;.csv.</t>
        </is>
      </c>
    </row>
    <row r="20">
      <c r="A20" s="7" t="inlineStr">
        <is>
          <t>TC-19</t>
        </is>
      </c>
      <c r="B20" s="7" t="inlineStr">
        <is>
          <t>Sprint 1-2</t>
        </is>
      </c>
      <c r="C20" s="7" t="inlineStr">
        <is>
          <t>Observaciones y línea de tiempo (EP-02)</t>
        </is>
      </c>
      <c r="D20" s="7" t="inlineStr">
        <is>
          <t>Validar que no se pueda eliminar una categoría con observaciones asociadas</t>
        </is>
      </c>
      <c r="E20" s="7" t="inlineStr">
        <is>
          <t>Cubre la administración de categorías de observación y la restricción de eliminación.</t>
        </is>
      </c>
      <c r="F20" s="7" t="inlineStr">
        <is>
          <t>Existe una categoría con observaciones asociadas. El usuario tiene rol Referente.</t>
        </is>
      </c>
      <c r="G20" s="7" t="inlineStr">
        <is>
          <t>SCRUM-72, SCRUM-176, SCRUM-177</t>
        </is>
      </c>
      <c r="H20" s="7" t="inlineStr">
        <is>
          <t>1. Crear una categoría nueva.  →  La categoría queda disponible en el combo de observaciones.
2. Intentar eliminar una categoría que ya tiene observaciones.  →  El sistema impide la eliminación e informa el motivo.</t>
        </is>
      </c>
      <c r="I20" s="7" t="inlineStr"/>
      <c r="J20" s="7" t="inlineStr">
        <is>
          <t>OK</t>
        </is>
      </c>
      <c r="K20" s="7" t="inlineStr">
        <is>
          <t>2026-10-06</t>
        </is>
      </c>
      <c r="L20" s="7" t="inlineStr">
        <is>
          <t>Mateo Pavoni</t>
        </is>
      </c>
      <c r="M20" s="7" t="inlineStr"/>
    </row>
    <row r="21">
      <c r="A21" s="7" t="inlineStr">
        <is>
          <t>TC-20</t>
        </is>
      </c>
      <c r="B21" s="7" t="inlineStr">
        <is>
          <t>Sprint 1-2</t>
        </is>
      </c>
      <c r="C21" s="7" t="inlineStr">
        <is>
          <t>Historia de vida (EP-02)</t>
        </is>
      </c>
      <c r="D21" s="7" t="inlineStr">
        <is>
          <t>Validar que la historia de vida se registre en 3 etapas conservando el historial</t>
        </is>
      </c>
      <c r="E21" s="7" t="inlineStr">
        <is>
          <t>Cubre la carga de historia de vida por etapa con historial append-only (hallazgo H08).</t>
        </is>
      </c>
      <c r="F21" s="7" t="inlineStr">
        <is>
          <t>Existe una ficha. El usuario tiene permiso de edición de historia de vida.</t>
        </is>
      </c>
      <c r="G21" s="7" t="inlineStr">
        <is>
          <t>SCRUM-170, SCRUM-171, SCRUM-172</t>
        </is>
      </c>
      <c r="H21" s="7" t="inlineStr">
        <is>
          <t>1. Abrir Historia de vida y completar una etapa.  →  Se muestra el modal de éxito y queda registrado el usuario y la fecha de última edición.
2. Volver a guardar la misma etapa con otro texto.  →  Se ve el contenido nuevo y el anterior permanece en el historial.</t>
        </is>
      </c>
      <c r="I21" s="7" t="inlineStr">
        <is>
          <t>docs/qa/e2e/sprint1-2-ui-flows.mjs</t>
        </is>
      </c>
      <c r="J21" s="7" t="inlineStr">
        <is>
          <t>OK</t>
        </is>
      </c>
      <c r="K21" s="7" t="inlineStr">
        <is>
          <t>2026-10-16</t>
        </is>
      </c>
      <c r="L21" s="7" t="inlineStr">
        <is>
          <t>Mateo Pavoni</t>
        </is>
      </c>
      <c r="M21" s="7" t="inlineStr">
        <is>
          <t>OK en navegador real. La historia de vida muestra las 3 etapas y se agrega una entrada en la primera.</t>
        </is>
      </c>
    </row>
    <row r="22">
      <c r="A22" s="7" t="inlineStr">
        <is>
          <t>TC-21</t>
        </is>
      </c>
      <c r="B22" s="7" t="inlineStr">
        <is>
          <t>Sprint 1-2</t>
        </is>
      </c>
      <c r="C22" s="7" t="inlineStr">
        <is>
          <t>Casa de Convivencia (EP-12)</t>
        </is>
      </c>
      <c r="D22" s="7" t="inlineStr">
        <is>
          <t>Validar que asignar el tipo Residente exija una evaluación psiquiátrica vigente</t>
        </is>
      </c>
      <c r="E22" s="7" t="inlineStr">
        <is>
          <t>Cubre la regla de cambio de tipo de persona.</t>
        </is>
      </c>
      <c r="F22" s="7" t="inlineStr">
        <is>
          <t>Existe una persona Ambulatoria sin evaluación psiquiátrica vigente.</t>
        </is>
      </c>
      <c r="G22" s="7" t="inlineStr">
        <is>
          <t>SCRUM-134</t>
        </is>
      </c>
      <c r="H22" s="7" t="inlineStr">
        <is>
          <t>1. Intentar cambiar el tipo de la persona a Residente.  →  El sistema rechaza el cambio e indica que falta la evaluación psiquiátrica.
2. Cargar una evaluación vigente y repetir el cambio.  →  El tipo pasa a Residente y se registra en el historial de tipo de persona con autor y fecha.</t>
        </is>
      </c>
      <c r="I22" s="7" t="inlineStr"/>
      <c r="J22" s="7" t="inlineStr">
        <is>
          <t>OK</t>
        </is>
      </c>
      <c r="K22" s="7" t="inlineStr">
        <is>
          <t>2026-10-06</t>
        </is>
      </c>
      <c r="L22" s="7" t="inlineStr">
        <is>
          <t>Mateo Pavoni</t>
        </is>
      </c>
      <c r="M22" s="7" t="inlineStr"/>
    </row>
    <row r="23">
      <c r="A23" s="7" t="inlineStr">
        <is>
          <t>TC-22</t>
        </is>
      </c>
      <c r="B23" s="7" t="inlineStr">
        <is>
          <t>Sprint 1-2</t>
        </is>
      </c>
      <c r="C23" s="7" t="inlineStr">
        <is>
          <t>Casa de Convivencia (EP-12)</t>
        </is>
      </c>
      <c r="D23" s="7" t="inlineStr">
        <is>
          <t>Validar el ingreso y egreso de una estadía con motivo</t>
        </is>
      </c>
      <c r="E23" s="7" t="inlineStr">
        <is>
          <t>Cubre el registro de estadías en la Casa de Convivencia (SCRUM-140 / SCRUM-146).</t>
        </is>
      </c>
      <c r="F23" s="7" t="inlineStr">
        <is>
          <t>Persona tipo Residente sin estadía abierta. Usuario con rol Referente, Directora de Casa de Convivencia o Coordinador.</t>
        </is>
      </c>
      <c r="G23" s="7" t="inlineStr">
        <is>
          <t>SCRUM-140, SCRUM-146</t>
        </is>
      </c>
      <c r="H23" s="7" t="inlineStr">
        <is>
          <t>1. Registrar el ingreso desde la ficha.  →  Se abre una estadía con fecha y hora automáticas.
2. Registrar el egreso eligiendo un motivo.  →  La estadía se cierra y aparece en la línea de tiempo.
3. Registrar un egreso con motivo Otro sin texto.  →  El sistema exige completar el detalle del motivo.</t>
        </is>
      </c>
      <c r="I23" s="7" t="inlineStr"/>
      <c r="J23" s="7" t="inlineStr">
        <is>
          <t>OK</t>
        </is>
      </c>
      <c r="K23" s="7" t="inlineStr">
        <is>
          <t>2026-10-06</t>
        </is>
      </c>
      <c r="L23" s="7" t="inlineStr">
        <is>
          <t>Mateo Pavoni</t>
        </is>
      </c>
      <c r="M23" s="7" t="inlineStr"/>
    </row>
    <row r="24">
      <c r="A24" s="7" t="inlineStr">
        <is>
          <t>TC-23</t>
        </is>
      </c>
      <c r="B24" s="7" t="inlineStr">
        <is>
          <t>Sprint 1-2</t>
        </is>
      </c>
      <c r="C24" s="7" t="inlineStr">
        <is>
          <t>Casa de Convivencia (EP-12)</t>
        </is>
      </c>
      <c r="D24" s="7" t="inlineStr">
        <is>
          <t>Validar que no se pueda dejar de ser Residente con una estadía activa</t>
        </is>
      </c>
      <c r="E24" s="7" t="inlineStr">
        <is>
          <t>Cubre el bloqueo de cambio de tipo con estadía abierta (hallazgo H10).</t>
        </is>
      </c>
      <c r="F24" s="7" t="inlineStr">
        <is>
          <t>Persona Residente con una estadía sin egreso.</t>
        </is>
      </c>
      <c r="G24" s="7" t="inlineStr">
        <is>
          <t>SCRUM-134</t>
        </is>
      </c>
      <c r="H24" s="7" t="inlineStr">
        <is>
          <t>1. Intentar cambiar el tipo a Ambulatorio.  →  El sistema lo impide e indica que primero hay que registrar el egreso.
2. Registrar el egreso y repetir el cambio.  →  El cambio se realiza correctamente.</t>
        </is>
      </c>
      <c r="I24" s="7" t="inlineStr"/>
      <c r="J24" s="7" t="inlineStr">
        <is>
          <t>OK</t>
        </is>
      </c>
      <c r="K24" s="7" t="inlineStr">
        <is>
          <t>2026-10-06</t>
        </is>
      </c>
      <c r="L24" s="7" t="inlineStr">
        <is>
          <t>Mateo Pavoni</t>
        </is>
      </c>
      <c r="M24" s="7" t="inlineStr"/>
    </row>
    <row r="25">
      <c r="A25" s="7" t="inlineStr">
        <is>
          <t>TC-24</t>
        </is>
      </c>
      <c r="B25" s="7" t="inlineStr">
        <is>
          <t>Sprint 1-2</t>
        </is>
      </c>
      <c r="C25" s="7" t="inlineStr">
        <is>
          <t>Asistencia e inactividad automática</t>
        </is>
      </c>
      <c r="D25" s="7" t="inlineStr">
        <is>
          <t>Validar que registrar asistencia reactive a una persona inactiva</t>
        </is>
      </c>
      <c r="E25" s="7" t="inlineStr">
        <is>
          <t>Cubre el registro de asistencia diaria y la reactivación de fichas inactivas.</t>
        </is>
      </c>
      <c r="F25" s="7" t="inlineStr">
        <is>
          <t>Existe una ficha en estado Inactivo. El usuario tiene rol con permiso de asistencia (por ejemplo, Escucha).</t>
        </is>
      </c>
      <c r="G25" s="7" t="inlineStr">
        <is>
          <t>SCRUM-XX (asistencia, a confirmar)</t>
        </is>
      </c>
      <c r="H25" s="7" t="inlineStr">
        <is>
          <t>1. Registrar asistencia de una persona activa.  →  La asistencia queda registrada y la persona sigue activa.
2. Registrar asistencia de una persona inactiva.  →  La asistencia queda registrada y la ficha vuelve a estado Activo.</t>
        </is>
      </c>
      <c r="I25" s="7" t="inlineStr"/>
      <c r="J25" s="7" t="inlineStr">
        <is>
          <t>OK</t>
        </is>
      </c>
      <c r="K25" s="7" t="inlineStr">
        <is>
          <t>2026-10-06</t>
        </is>
      </c>
      <c r="L25" s="7" t="inlineStr">
        <is>
          <t>Mateo Pavoni</t>
        </is>
      </c>
      <c r="M25" s="7" t="inlineStr"/>
    </row>
    <row r="26">
      <c r="A26" s="7" t="inlineStr">
        <is>
          <t>TC-25</t>
        </is>
      </c>
      <c r="B26" s="7" t="inlineStr">
        <is>
          <t>Sprint 1-2</t>
        </is>
      </c>
      <c r="C26" s="7" t="inlineStr">
        <is>
          <t>Asistencia e inactividad automática</t>
        </is>
      </c>
      <c r="D26" s="7" t="inlineStr">
        <is>
          <t>Validar que una persona sin asistencia en 30 días pase a Inactivo automáticamente</t>
        </is>
      </c>
      <c r="E26" s="7" t="inlineStr">
        <is>
          <t>Cubre el job automático de inactividad a 30 días.</t>
        </is>
      </c>
      <c r="F26" s="7" t="inlineStr">
        <is>
          <t>Existe una ficha activa cuya última asistencia fue hace más de 30 días, y otra con asistencia reciente.</t>
        </is>
      </c>
      <c r="G26" s="7" t="inlineStr">
        <is>
          <t>SCRUM-78, SCRUM-156</t>
        </is>
      </c>
      <c r="H26" s="7" t="inlineStr">
        <is>
          <t>1. Ejecutar el job de inactividad (o esperar su corrida).  →  La ficha sin asistencia reciente pasa a Inactivo y se registra en auditoría.
2. Revisar la ficha con asistencia reciente.  →  Permanece Activa.</t>
        </is>
      </c>
      <c r="I26" s="7" t="inlineStr"/>
      <c r="J26" s="7" t="inlineStr">
        <is>
          <t>OK</t>
        </is>
      </c>
      <c r="K26" s="7" t="inlineStr">
        <is>
          <t>2026-10-06</t>
        </is>
      </c>
      <c r="L26" s="7" t="inlineStr">
        <is>
          <t>Mateo Pavoni</t>
        </is>
      </c>
      <c r="M26" s="7" t="inlineStr"/>
    </row>
    <row r="27">
      <c r="A27" s="7" t="inlineStr">
        <is>
          <t>TC-26</t>
        </is>
      </c>
      <c r="B27" s="7" t="inlineStr">
        <is>
          <t>Sprint 1-2</t>
        </is>
      </c>
      <c r="C27" s="7" t="inlineStr">
        <is>
          <t>Seguridad de cuentas y notificaciones (complemento)</t>
        </is>
      </c>
      <c r="D27" s="7" t="inlineStr">
        <is>
          <t>Validar que un Referente no pueda cambiarse el rol ni desactivarse a sí mismo</t>
        </is>
      </c>
      <c r="E27" s="7" t="inlineStr">
        <is>
          <t>Cubre la restricción de autogestión de cuenta (hallazgo H01).</t>
        </is>
      </c>
      <c r="F27" s="7" t="inlineStr">
        <is>
          <t>El usuario logueado tiene el rol Referente.</t>
        </is>
      </c>
      <c r="G27" s="7" t="inlineStr">
        <is>
          <t>SCRUM-20, SCRUM-13</t>
        </is>
      </c>
      <c r="H27" s="7" t="inlineStr">
        <is>
          <t>1. En Gestión de Usuarios, ubicar la propia cuenta.  →  Los botones de cambiar rol y desactivar están deshabilitados.
2. Intentar la misma acción por API.  →  El sistema responde 403 (CannotActOnSelf).</t>
        </is>
      </c>
      <c r="I27" s="7" t="inlineStr">
        <is>
          <t>docs/qa/e2e/sprint1-2-ui-flows.mjs</t>
        </is>
      </c>
      <c r="J27" s="7" t="inlineStr">
        <is>
          <t>OK</t>
        </is>
      </c>
      <c r="K27" s="7" t="inlineStr">
        <is>
          <t>2026-10-16</t>
        </is>
      </c>
      <c r="L27" s="7" t="inlineStr">
        <is>
          <t>Mateo Pavoni</t>
        </is>
      </c>
      <c r="M27" s="7" t="inlineStr">
        <is>
          <t>OK en navegador real. En la fila de la propia cuenta, 'Reasignar Rol' e 'Inactivar' están deshabilitados.</t>
        </is>
      </c>
    </row>
    <row r="28">
      <c r="A28" s="7" t="inlineStr">
        <is>
          <t>TC-27</t>
        </is>
      </c>
      <c r="B28" s="7" t="inlineStr">
        <is>
          <t>Sprint 1-2</t>
        </is>
      </c>
      <c r="C28" s="7" t="inlineStr">
        <is>
          <t>Seguridad de cuentas y notificaciones (complemento)</t>
        </is>
      </c>
      <c r="D28" s="7" t="inlineStr">
        <is>
          <t>Validar que se rechace una cuenta pendiente indicando el motivo</t>
        </is>
      </c>
      <c r="E28" s="7" t="inlineStr">
        <is>
          <t>Cubre el rechazo de cuentas de RF-01.</t>
        </is>
      </c>
      <c r="F28" s="7" t="inlineStr">
        <is>
          <t>Existe una cuenta Pendiente. El usuario tiene el rol Referente.</t>
        </is>
      </c>
      <c r="G28" s="7" t="inlineStr">
        <is>
          <t>SCRUM-12</t>
        </is>
      </c>
      <c r="H28" s="7" t="inlineStr">
        <is>
          <t>1. Rechazar la cuenta sin escribir motivo.  →  El sistema exige el motivo.
2. Rechazar con motivo.  →  La cuenta queda Rechazada y se registra en auditoría.</t>
        </is>
      </c>
      <c r="I28" s="7" t="inlineStr"/>
      <c r="J28" s="7" t="inlineStr">
        <is>
          <t>OK</t>
        </is>
      </c>
      <c r="K28" s="7" t="inlineStr">
        <is>
          <t>2026-10-06</t>
        </is>
      </c>
      <c r="L28" s="7" t="inlineStr">
        <is>
          <t>Mateo Pavoni</t>
        </is>
      </c>
      <c r="M28" s="7" t="inlineStr"/>
    </row>
    <row r="29">
      <c r="A29" s="7" t="inlineStr">
        <is>
          <t>TC-28</t>
        </is>
      </c>
      <c r="B29" s="7" t="inlineStr">
        <is>
          <t>Sprint 1-2</t>
        </is>
      </c>
      <c r="C29" s="7" t="inlineStr">
        <is>
          <t>Seguridad de cuentas y notificaciones (complemento)</t>
        </is>
      </c>
      <c r="D29" s="7" t="inlineStr">
        <is>
          <t>Validar que se pueda marcar notificaciones como leídas</t>
        </is>
      </c>
      <c r="E29" s="7" t="inlineStr">
        <is>
          <t>Cubre el marcado individual y masivo de notificaciones de RF-19.</t>
        </is>
      </c>
      <c r="F29" s="7" t="inlineStr">
        <is>
          <t>El Referente tiene varias notificaciones sin leer.</t>
        </is>
      </c>
      <c r="G29" s="7" t="inlineStr">
        <is>
          <t>SCRUM-22</t>
        </is>
      </c>
      <c r="H29" s="7" t="inlineStr">
        <is>
          <t>1. Abrir una notificación desde la campana.  →  Esa notificación pasa a leída y baja el contador.
2. Hacer clic en Marcar todas como leídas.  →  El contador llega a cero.</t>
        </is>
      </c>
      <c r="I29" s="7" t="inlineStr"/>
      <c r="J29" s="7" t="inlineStr">
        <is>
          <t>OK</t>
        </is>
      </c>
      <c r="K29" s="7" t="inlineStr">
        <is>
          <t>2026-10-06</t>
        </is>
      </c>
      <c r="L29" s="7" t="inlineStr">
        <is>
          <t>Mateo Pavoni</t>
        </is>
      </c>
      <c r="M29" s="7" t="inlineStr"/>
    </row>
    <row r="30">
      <c r="A30" s="7" t="inlineStr">
        <is>
          <t>TC-29</t>
        </is>
      </c>
      <c r="B30" s="7" t="inlineStr">
        <is>
          <t>Sprint 1-2</t>
        </is>
      </c>
      <c r="C30" s="7" t="inlineStr">
        <is>
          <t>Seguridad de cuentas y notificaciones (complemento)</t>
        </is>
      </c>
      <c r="D30" s="7" t="inlineStr">
        <is>
          <t>Validar que se notifique a los Referentes cuando una cuenta se bloquea</t>
        </is>
      </c>
      <c r="E30" s="7" t="inlineStr">
        <is>
          <t>Cubre la notificación por bloqueo tras 5 intentos fallidos (complemento de TC-04).</t>
        </is>
      </c>
      <c r="F30" s="7" t="inlineStr">
        <is>
          <t>Existe un Referente activo y una cuenta activa.</t>
        </is>
      </c>
      <c r="G30" s="7" t="inlineStr">
        <is>
          <t>SCRUM-22, SCRUM-33</t>
        </is>
      </c>
      <c r="H30" s="7" t="inlineStr">
        <is>
          <t>1. Bloquear la cuenta con 5 intentos fallidos.  →  La cuenta queda bloqueada.
2. Iniciar sesión como Referente y abrir las notificaciones.  →  Aparece una notificación de cuenta bloqueada.</t>
        </is>
      </c>
      <c r="I30" s="7" t="inlineStr"/>
      <c r="J30" s="7" t="inlineStr">
        <is>
          <t>OK</t>
        </is>
      </c>
      <c r="K30" s="7" t="inlineStr">
        <is>
          <t>2026-10-06</t>
        </is>
      </c>
      <c r="L30" s="7" t="inlineStr">
        <is>
          <t>Mateo Pavoni</t>
        </is>
      </c>
      <c r="M30" s="7" t="inlineStr"/>
    </row>
    <row r="31">
      <c r="A31" s="7" t="inlineStr">
        <is>
          <t>TC-30</t>
        </is>
      </c>
      <c r="B31" s="7" t="inlineStr">
        <is>
          <t>Sprint 1-2</t>
        </is>
      </c>
      <c r="C31" s="7" t="inlineStr">
        <is>
          <t>Seguridad de cuentas y notificaciones (complemento)</t>
        </is>
      </c>
      <c r="D31" s="7" t="inlineStr">
        <is>
          <t>Validar que una sesión previa deje de valer al cambiar el rol o desactivar la cuenta</t>
        </is>
      </c>
      <c r="E31" s="7" t="inlineStr">
        <is>
          <t>Cubre la invalidación inmediata de tokens (hallazgo H03).</t>
        </is>
      </c>
      <c r="F31" s="7" t="inlineStr">
        <is>
          <t>Un usuario tiene sesión abierta; un Referente puede cambiar su rol.</t>
        </is>
      </c>
      <c r="G31" s="7" t="inlineStr">
        <is>
          <t>SCRUM-20, SCRUM-13</t>
        </is>
      </c>
      <c r="H31" s="7" t="inlineStr">
        <is>
          <t>1. Como Referente, cambiar el rol o desactivar al usuario con sesión abierta.  →  El cambio se guarda.
2. En la sesión del usuario afectado, realizar cualquier acción.  →  El sistema rechaza la sesión y pide iniciar sesión de nuevo.</t>
        </is>
      </c>
      <c r="I31" s="7" t="inlineStr"/>
      <c r="J31" s="7" t="inlineStr">
        <is>
          <t>OK</t>
        </is>
      </c>
      <c r="K31" s="7" t="inlineStr">
        <is>
          <t>2026-10-06</t>
        </is>
      </c>
      <c r="L31" s="7" t="inlineStr">
        <is>
          <t>Mateo Pavoni</t>
        </is>
      </c>
      <c r="M31" s="7" t="inlineStr"/>
    </row>
    <row r="32">
      <c r="A32" s="7" t="inlineStr">
        <is>
          <t>TC-31</t>
        </is>
      </c>
      <c r="B32" s="7" t="inlineStr">
        <is>
          <t>Sprint 1-2</t>
        </is>
      </c>
      <c r="C32" s="7" t="inlineStr">
        <is>
          <t>Casos manuales complementarios (Plan de Pruebas v1.2)</t>
        </is>
      </c>
      <c r="D32" s="7" t="inlineStr">
        <is>
          <t>Validar que el login no se envíe con los campos vacíos</t>
        </is>
      </c>
      <c r="E32" s="7" t="inlineStr">
        <is>
          <t>Cubre el criterio de aceptación de RF-02: el formulario de acceso valida los campos antes de enviar (equivale a CP03 del Plan de Pruebas v1.2).</t>
        </is>
      </c>
      <c r="F32" s="7" t="inlineStr">
        <is>
          <t>Existe la pantalla de Login accesible.</t>
        </is>
      </c>
      <c r="G32" s="7" t="inlineStr">
        <is>
          <t>SCRUM-33</t>
        </is>
      </c>
      <c r="H32" s="7" t="inlineStr">
        <is>
          <t>1. Ingresar a la pantalla de Login y hacer clic en Entrar sin completar nada.  →  El formulario solicita completar los campos y no se envía ninguna solicitud al servidor.</t>
        </is>
      </c>
      <c r="I32" s="7" t="inlineStr">
        <is>
          <t>docs/qa/e2e/sprint1-2-ui-flows.mjs</t>
        </is>
      </c>
      <c r="J32" s="7" t="inlineStr">
        <is>
          <t>OK</t>
        </is>
      </c>
      <c r="K32" s="7" t="inlineStr">
        <is>
          <t>2026-10-16</t>
        </is>
      </c>
      <c r="L32" s="7" t="inlineStr">
        <is>
          <t>Mateo Pavoni</t>
        </is>
      </c>
      <c r="M32" s="7" t="inlineStr">
        <is>
          <t>OK en navegador real. Login vacío: se muestran 'El correo electrónico es obligatorio.' y 'La contraseña es obligatoria.' y no se envía la petición.</t>
        </is>
      </c>
    </row>
    <row r="33">
      <c r="A33" s="7" t="inlineStr">
        <is>
          <t>TC-32</t>
        </is>
      </c>
      <c r="B33" s="7" t="inlineStr">
        <is>
          <t>Sprint 1-2</t>
        </is>
      </c>
      <c r="C33" s="7" t="inlineStr">
        <is>
          <t>Casos manuales complementarios (Plan de Pruebas v1.2)</t>
        </is>
      </c>
      <c r="D33" s="7" t="inlineStr">
        <is>
          <t>Validar que no se pueda registrar un correo ya registrado</t>
        </is>
      </c>
      <c r="E33" s="7" t="inlineStr">
        <is>
          <t>Cubre el criterio de aceptación de RF-01 sobre correos duplicados (equivale a CP07 del Plan de Pruebas v1.2).</t>
        </is>
      </c>
      <c r="F33" s="7" t="inlineStr">
        <is>
          <t>Existe una cuenta registrada con el correo ana.lopez@test.com.</t>
        </is>
      </c>
      <c r="G33" s="7" t="inlineStr">
        <is>
          <t>SCRUM-12</t>
        </is>
      </c>
      <c r="H33" s="7" t="inlineStr">
        <is>
          <t>1. Ir a la pantalla de Registro y completar los campos con un correo ya registrado.  →  El formulario acepta los datos ingresados.
2. Hacer clic en Registrarme.  →  El sistema rechaza el registro (409) e informa que el correo ya está registrado.</t>
        </is>
      </c>
      <c r="I33" s="7" t="inlineStr">
        <is>
          <t>docs/qa/e2e/sprint1-2-ui-flows.mjs</t>
        </is>
      </c>
      <c r="J33" s="7" t="inlineStr">
        <is>
          <t>OK</t>
        </is>
      </c>
      <c r="K33" s="7" t="inlineStr">
        <is>
          <t>2026-10-16</t>
        </is>
      </c>
      <c r="L33" s="7" t="inlineStr">
        <is>
          <t>Mateo Pavoni</t>
        </is>
      </c>
      <c r="M33" s="7" t="inlineStr">
        <is>
          <t>OK en navegador real. Registrar un correo existente muestra 'Ya existe un usuario registrado con ese email.' y permanece en el formulario.</t>
        </is>
      </c>
    </row>
    <row r="34">
      <c r="A34" s="7" t="inlineStr">
        <is>
          <t>TC-33</t>
        </is>
      </c>
      <c r="B34" s="7" t="inlineStr">
        <is>
          <t>Sprint 1-2</t>
        </is>
      </c>
      <c r="C34" s="7" t="inlineStr">
        <is>
          <t>Casos manuales complementarios (Plan de Pruebas v1.2)</t>
        </is>
      </c>
      <c r="D34" s="7" t="inlineStr">
        <is>
          <t>Validar que el rol Coordinador de Casa de Convivencia pueda asignarse y seleccionarse</t>
        </is>
      </c>
      <c r="E34" s="7" t="inlineStr">
        <is>
          <t>Cubre el hallazgo H15: el rol Coordinador debe estar disponible en los selectores de gestión de usuarios (equivale a CP10 del Plan de Pruebas v1.2).</t>
        </is>
      </c>
      <c r="F34" s="7" t="inlineStr">
        <is>
          <t>Existe una cuenta Pendiente. El usuario logueado tiene el rol Referente.</t>
        </is>
      </c>
      <c r="G34" s="7" t="inlineStr">
        <is>
          <t>SCRUM-13, SCRUM-64</t>
        </is>
      </c>
      <c r="H34" s="7" t="inlineStr">
        <is>
          <t>1. Ingresar al panel de Gestión de Usuarios y aprobar la cuenta pendiente.  →  Se muestra el selector de roles.
2. Abrir el selector y elegir el rol Coordinador de Casa de Convivencia.  →  El rol aparece disponible en el selector.
3. Confirmar la aprobación.  →  La cuenta pasa a Activa con el rol Coordinador asignado.</t>
        </is>
      </c>
      <c r="I34" s="7" t="inlineStr"/>
      <c r="J34" s="7" t="inlineStr">
        <is>
          <t>OK</t>
        </is>
      </c>
      <c r="K34" s="7" t="inlineStr">
        <is>
          <t>2026-10-06</t>
        </is>
      </c>
      <c r="L34" s="7" t="inlineStr">
        <is>
          <t>Mateo Pavoni</t>
        </is>
      </c>
      <c r="M34" s="7" t="inlineStr"/>
    </row>
    <row r="35">
      <c r="A35" s="7" t="inlineStr">
        <is>
          <t>TC-34</t>
        </is>
      </c>
      <c r="B35" s="7" t="inlineStr">
        <is>
          <t>Sprint 1-2</t>
        </is>
      </c>
      <c r="C35" s="7" t="inlineStr">
        <is>
          <t>Casos manuales complementarios (Plan de Pruebas v1.2)</t>
        </is>
      </c>
      <c r="D35" s="7" t="inlineStr">
        <is>
          <t>Validar que la edición de una ficha cargue los datos reales y guarde los cambios</t>
        </is>
      </c>
      <c r="E35" s="7" t="inlineStr">
        <is>
          <t>Cubre el hallazgo H13: la pantalla de edición debe cargar la ficha real y no datos de ejemplo (equivale a CP15 del Plan de Pruebas v1.2).</t>
        </is>
      </c>
      <c r="F35" s="7" t="inlineStr">
        <is>
          <t>Existe una ficha con datos cargados. El usuario logueado tiene el rol Referente.</t>
        </is>
      </c>
      <c r="G35" s="7" t="inlineStr">
        <is>
          <t>SCRUM-117</t>
        </is>
      </c>
      <c r="H35" s="7" t="inlineStr">
        <is>
          <t>1. Abrir una ficha existente y hacer clic en Editar.  →  La pantalla muestra los datos reales de la ficha seleccionada.
2. Modificar un dato y guardar.  →  El sistema guarda los cambios y los muestra en el perfil de la ficha.</t>
        </is>
      </c>
      <c r="I35" s="7" t="inlineStr">
        <is>
          <t>docs/qa/e2e/sprint1-2-ui-flows.mjs</t>
        </is>
      </c>
      <c r="J35" s="7" t="inlineStr">
        <is>
          <t>OK</t>
        </is>
      </c>
      <c r="K35" s="7" t="inlineStr">
        <is>
          <t>2026-10-16</t>
        </is>
      </c>
      <c r="L35" s="7" t="inlineStr">
        <is>
          <t>Mateo Pavoni</t>
        </is>
      </c>
      <c r="M35" s="7" t="inlineStr">
        <is>
          <t>OK en navegador real. La edición carga el nombre guardado y los cambios se guardan y se ven en el detalle.</t>
        </is>
      </c>
    </row>
    <row r="36">
      <c r="A36" s="7" t="inlineStr">
        <is>
          <t>TC-35</t>
        </is>
      </c>
      <c r="B36" s="7" t="inlineStr">
        <is>
          <t>Sprint 1-2</t>
        </is>
      </c>
      <c r="C36" s="7" t="inlineStr">
        <is>
          <t>Casos manuales complementarios (Plan de Pruebas v1.2)</t>
        </is>
      </c>
      <c r="D36" s="7" t="inlineStr">
        <is>
          <t>Validar que se pueda editar el contacto de referencia de una ficha</t>
        </is>
      </c>
      <c r="E36" s="7" t="inlineStr">
        <is>
          <t>Cubre el hallazgo H14: el contacto de referencia no debe perderse al editar la ficha (equivale a CP16 del Plan de Pruebas v1.2).</t>
        </is>
      </c>
      <c r="F36" s="7" t="inlineStr">
        <is>
          <t>Existe una ficha con un contacto de referencia cargado. El usuario logueado tiene el rol Referente.</t>
        </is>
      </c>
      <c r="G36" s="7" t="inlineStr">
        <is>
          <t>SCRUM-117</t>
        </is>
      </c>
      <c r="H36" s="7" t="inlineStr">
        <is>
          <t>1. Abrir la ficha, hacer clic en Editar y modificar los datos del contacto.  →  El formulario muestra el contacto con los datos nuevos.
2. Guardar y volver a abrir la ficha.  →  El contacto se actualizó y no se perdió ningún dato.</t>
        </is>
      </c>
      <c r="I36" s="7" t="inlineStr"/>
      <c r="J36" s="7" t="inlineStr">
        <is>
          <t>OK</t>
        </is>
      </c>
      <c r="K36" s="7" t="inlineStr">
        <is>
          <t>2026-10-06</t>
        </is>
      </c>
      <c r="L36" s="7" t="inlineStr">
        <is>
          <t>Mateo Pavoni</t>
        </is>
      </c>
      <c r="M36" s="7" t="inlineStr"/>
    </row>
    <row r="37">
      <c r="A37" s="7" t="inlineStr">
        <is>
          <t>TC-36</t>
        </is>
      </c>
      <c r="B37" s="7" t="inlineStr">
        <is>
          <t>Sprint 1-2</t>
        </is>
      </c>
      <c r="C37" s="7" t="inlineStr">
        <is>
          <t>Casos manuales complementarios (Plan de Pruebas v1.2)</t>
        </is>
      </c>
      <c r="D37" s="7" t="inlineStr">
        <is>
          <t>Validar que el historial de tipo de persona registre cada cambio</t>
        </is>
      </c>
      <c r="E37" s="7" t="inlineStr">
        <is>
          <t>Cubre el hallazgo H11: el historial debe mostrar valor anterior y nuevo, autor y fecha (equivale a CP20 del Plan de Pruebas v1.2).</t>
        </is>
      </c>
      <c r="F37" s="7" t="inlineStr">
        <is>
          <t>Existe una ficha de tipo Ambulatorio con evaluación psiquiátrica vigente. El usuario logueado tiene el rol Referente.</t>
        </is>
      </c>
      <c r="G37" s="7" t="inlineStr">
        <is>
          <t>EP-12</t>
        </is>
      </c>
      <c r="H37" s="7" t="inlineStr">
        <is>
          <t>1. Cambiar el tipo de persona a Residente y confirmar.  →  El cambio se realiza correctamente.
2. Abrir el perfil y revisar el historial de cambios de tipo.  →  El historial muestra el cambio con el valor anterior, el valor nuevo, el autor y la fecha.</t>
        </is>
      </c>
      <c r="I37" s="7" t="inlineStr"/>
      <c r="J37" s="7" t="inlineStr">
        <is>
          <t>OK</t>
        </is>
      </c>
      <c r="K37" s="7" t="inlineStr">
        <is>
          <t>2026-10-06</t>
        </is>
      </c>
      <c r="L37" s="7" t="inlineStr">
        <is>
          <t>Mateo Pavoni</t>
        </is>
      </c>
      <c r="M37" s="7" t="inlineStr"/>
    </row>
    <row r="38">
      <c r="A38" s="7" t="inlineStr">
        <is>
          <t>TC-37</t>
        </is>
      </c>
      <c r="B38" s="7" t="inlineStr">
        <is>
          <t>Sprint 1-2</t>
        </is>
      </c>
      <c r="C38" s="7" t="inlineStr">
        <is>
          <t>Casos manuales complementarios (Plan de Pruebas v1.2)</t>
        </is>
      </c>
      <c r="D38" s="7" t="inlineStr">
        <is>
          <t>Validar que no se pueda guardar una observación con el contenido vacío</t>
        </is>
      </c>
      <c r="E38" s="7" t="inlineStr">
        <is>
          <t>Cubre la validación del formulario de observaciones (equivale a CP26 del Plan de Pruebas v1.2).</t>
        </is>
      </c>
      <c r="F38" s="7" t="inlineStr">
        <is>
          <t>Existe una ficha. El usuario logueado tiene un rol con permiso para cargar observaciones.</t>
        </is>
      </c>
      <c r="G38" s="7" t="inlineStr">
        <is>
          <t>EP-02</t>
        </is>
      </c>
      <c r="H38" s="7" t="inlineStr">
        <is>
          <t>1. Abrir la ficha y hacer clic en Nueva observación.  →  Se abre el modal con el combo de categorías cargado.
2. Elegir una categoría, dejar el texto vacío y guardar.  →  El formulario rechaza el guardado y no se crea ninguna observación.</t>
        </is>
      </c>
      <c r="I38" s="7" t="inlineStr">
        <is>
          <t>docs/qa/e2e/sprint1-2-ui-flows.mjs</t>
        </is>
      </c>
      <c r="J38" s="7" t="inlineStr">
        <is>
          <t>OK</t>
        </is>
      </c>
      <c r="K38" s="7" t="inlineStr">
        <is>
          <t>2026-10-16</t>
        </is>
      </c>
      <c r="L38" s="7" t="inlineStr">
        <is>
          <t>Mateo Pavoni</t>
        </is>
      </c>
      <c r="M38" s="7" t="inlineStr">
        <is>
          <t>OK en navegador real. Con el texto vacío el botón Guardar está deshabilitado y el modal sigue abierto.</t>
        </is>
      </c>
    </row>
    <row r="39">
      <c r="A39" s="7" t="inlineStr">
        <is>
          <t>TC-38</t>
        </is>
      </c>
      <c r="B39" s="7" t="inlineStr">
        <is>
          <t>Sprint 1-2</t>
        </is>
      </c>
      <c r="C39" s="7" t="inlineStr">
        <is>
          <t>Casos manuales complementarios (Plan de Pruebas v1.2)</t>
        </is>
      </c>
      <c r="D39" s="7" t="inlineStr">
        <is>
          <t>Validar que no se agregue una entrada en blanco a la historia de vida</t>
        </is>
      </c>
      <c r="E39" s="7" t="inlineStr">
        <is>
          <t>Cubre la validación de la historia de vida (equivale a CP30 del Plan de Pruebas v1.2).</t>
        </is>
      </c>
      <c r="F39" s="7" t="inlineStr">
        <is>
          <t>Existe una ficha con la historia de vida de una etapa ya cargada. El usuario logueado tiene el rol Referente.</t>
        </is>
      </c>
      <c r="G39" s="7" t="inlineStr">
        <is>
          <t>EP-02</t>
        </is>
      </c>
      <c r="H39" s="7" t="inlineStr">
        <is>
          <t>1. Abrir Historia de vida y dejar el texto de una etapa vacío.  →  El campo de la etapa queda sin contenido.
2. Intentar guardar.  →  No se suma una entrada en blanco al historial de la etapa.</t>
        </is>
      </c>
      <c r="I39" s="7" t="inlineStr">
        <is>
          <t>docs/qa/e2e/sprint1-2-ui-flows.mjs</t>
        </is>
      </c>
      <c r="J39" s="7" t="inlineStr">
        <is>
          <t>OK</t>
        </is>
      </c>
      <c r="K39" s="7" t="inlineStr">
        <is>
          <t>2026-10-16</t>
        </is>
      </c>
      <c r="L39" s="7" t="inlineStr">
        <is>
          <t>Mateo Pavoni</t>
        </is>
      </c>
      <c r="M39" s="7" t="inlineStr">
        <is>
          <t>FALLÓ en la primera ejecución en navegador (DEF-27); corregido y re-ejecutado OK. Primera ejecución: con solo espacios el botón quedaba habilitado y la API respondía 400. Tras la corrección el botón queda deshabilitado.</t>
        </is>
      </c>
    </row>
    <row r="40">
      <c r="A40" s="7" t="inlineStr">
        <is>
          <t>TC-39</t>
        </is>
      </c>
      <c r="B40" s="7" t="inlineStr">
        <is>
          <t>Sprint 1-2</t>
        </is>
      </c>
      <c r="C40" s="7" t="inlineStr">
        <is>
          <t>Casos manuales complementarios (Plan de Pruebas v1.2)</t>
        </is>
      </c>
      <c r="D40" s="7" t="inlineStr">
        <is>
          <t>Validar que el sistema se adapte a pantallas de celular</t>
        </is>
      </c>
      <c r="E40" s="7" t="inlineStr">
        <is>
          <t>Cubre el hallazgo H17 sobre responsividad: el menú lateral debe estar oculto por defecto en pantallas chicas (equivale a CP31 del Plan de Pruebas v1.2).</t>
        </is>
      </c>
      <c r="F40" s="7" t="inlineStr">
        <is>
          <t>Usuario con sesión iniciada. Navegador con un ancho de pantalla de aproximadamente 375 px.</t>
        </is>
      </c>
      <c r="G40" s="7" t="inlineStr">
        <is>
          <t>Transversal (H17)</t>
        </is>
      </c>
      <c r="H40" s="7" t="inlineStr">
        <is>
          <t>1. Abrir el sistema en un ancho de unos 375 px.  →  El menú lateral queda oculto y se muestra un botón de hamburguesa.
2. Observar el contenido principal.  →  El contenido usa todo el ancho disponible de la pantalla.</t>
        </is>
      </c>
      <c r="I40" s="7" t="inlineStr">
        <is>
          <t>docs/qa/e2e/sprint1-2-ui-flows.mjs</t>
        </is>
      </c>
      <c r="J40" s="7" t="inlineStr">
        <is>
          <t>OK</t>
        </is>
      </c>
      <c r="K40" s="7" t="inlineStr">
        <is>
          <t>2026-10-16</t>
        </is>
      </c>
      <c r="L40" s="7" t="inlineStr">
        <is>
          <t>Mateo Pavoni</t>
        </is>
      </c>
      <c r="M40" s="7" t="inlineStr">
        <is>
          <t>OK en navegador real. En 390 px de ancho no hay desborde horizontal en el inicio ni en el listado de fichas.</t>
        </is>
      </c>
    </row>
    <row r="41">
      <c r="A41" s="7" t="inlineStr">
        <is>
          <t>TC-40</t>
        </is>
      </c>
      <c r="B41" s="7" t="inlineStr">
        <is>
          <t>Sprint 1-2</t>
        </is>
      </c>
      <c r="C41" s="7" t="inlineStr">
        <is>
          <t>Casos manuales complementarios (Plan de Pruebas v1.2)</t>
        </is>
      </c>
      <c r="D41" s="7" t="inlineStr">
        <is>
          <t>Validar que el menú lateral se cierre solo al navegar desde un celular</t>
        </is>
      </c>
      <c r="E41" s="7" t="inlineStr">
        <is>
          <t>Cubre el hallazgo H17 sobre responsividad: al navegar en pantallas chicas el menú se cierra (equivale a CP32 del Plan de Pruebas v1.2).</t>
        </is>
      </c>
      <c r="F41" s="7" t="inlineStr">
        <is>
          <t>Usuario con sesión iniciada. Navegador con un ancho de pantalla de aproximadamente 375 px.</t>
        </is>
      </c>
      <c r="G41" s="7" t="inlineStr">
        <is>
          <t>Transversal (H17)</t>
        </is>
      </c>
      <c r="H41" s="7" t="inlineStr">
        <is>
          <t>1. Hacer clic en el botón de hamburguesa.  →  Se abre el menú lateral.
2. Elegir otra sección del menú.  →  El sistema navega a la sección elegida y el menú lateral se cierra automáticamente.</t>
        </is>
      </c>
      <c r="I41" s="7" t="inlineStr">
        <is>
          <t>docs/qa/e2e/sprint1-2-ui-flows.mjs</t>
        </is>
      </c>
      <c r="J41" s="7" t="inlineStr">
        <is>
          <t>OK</t>
        </is>
      </c>
      <c r="K41" s="7" t="inlineStr">
        <is>
          <t>2026-10-16</t>
        </is>
      </c>
      <c r="L41" s="7" t="inlineStr">
        <is>
          <t>Mateo Pavoni</t>
        </is>
      </c>
      <c r="M41" s="7" t="inlineStr">
        <is>
          <t>OK en navegador real. En pantalla chica el menú se abre con el botón y se oculta al elegir una opción.</t>
        </is>
      </c>
    </row>
    <row r="42">
      <c r="A42" s="7" t="inlineStr">
        <is>
          <t>TC-41</t>
        </is>
      </c>
      <c r="B42" s="7" t="inlineStr">
        <is>
          <t>Sprint 3</t>
        </is>
      </c>
      <c r="C42" s="7" t="inlineStr">
        <is>
          <t>QA calendario general (SCRUM-188)</t>
        </is>
      </c>
      <c r="D42" s="7" t="inlineStr">
        <is>
          <t>Listar eventos por rango</t>
        </is>
      </c>
      <c r="E42" s="7" t="inlineStr">
        <is>
          <t>Listar eventos por rango</t>
        </is>
      </c>
      <c r="F42" s="7" t="inlineStr">
        <is>
          <t>API levantada con WebApplicationFactory; sesión con el rol indicado en los pasos.</t>
        </is>
      </c>
      <c r="G42" s="7" t="inlineStr">
        <is>
          <t>SCRUM-</t>
        </is>
      </c>
      <c r="H42" s="7" t="inlineStr">
        <is>
          <t>1. GET /api/general-calendar-events?from=2026-10-12&amp;to=2026-10-18 con cada rol  →  200; ocurrencias recurrentes expandidas, paginado</t>
        </is>
      </c>
      <c r="I42" s="7" t="inlineStr">
        <is>
          <t>Get_WithRange_ExpandsSeedTemplatesAndPaginates, Get_WithEachAuthorizedRole_Returns200</t>
        </is>
      </c>
      <c r="J42" s="7" t="inlineStr">
        <is>
          <t>OK</t>
        </is>
      </c>
      <c r="K42" s="7" t="inlineStr">
        <is>
          <t>2026-10-14</t>
        </is>
      </c>
      <c r="L42" s="7" t="inlineStr">
        <is>
          <t>Suite automatizada</t>
        </is>
      </c>
      <c r="M42" s="7" t="inlineStr"/>
    </row>
    <row r="43">
      <c r="A43" s="7" t="inlineStr">
        <is>
          <t>TC-42</t>
        </is>
      </c>
      <c r="B43" s="7" t="inlineStr">
        <is>
          <t>Sprint 3</t>
        </is>
      </c>
      <c r="C43" s="7" t="inlineStr">
        <is>
          <t>QA calendario general (SCRUM-188)</t>
        </is>
      </c>
      <c r="D43" s="7" t="inlineStr">
        <is>
          <t>Sin rango usa la semana actual</t>
        </is>
      </c>
      <c r="E43" s="7" t="inlineStr">
        <is>
          <t>Sin rango usa la semana actual</t>
        </is>
      </c>
      <c r="F43" s="7" t="inlineStr">
        <is>
          <t>API levantada con WebApplicationFactory; sesión con el rol indicado en los pasos.</t>
        </is>
      </c>
      <c r="G43" s="7" t="inlineStr">
        <is>
          <t>SCRUM-</t>
        </is>
      </c>
      <c r="H43" s="7" t="inlineStr">
        <is>
          <t>1. GET sin from/to  →  200 con forma paginada</t>
        </is>
      </c>
      <c r="I43" s="7" t="inlineStr">
        <is>
          <t>Get_WithoutRange_Returns200WithPagedShape</t>
        </is>
      </c>
      <c r="J43" s="7" t="inlineStr">
        <is>
          <t>OK</t>
        </is>
      </c>
      <c r="K43" s="7" t="inlineStr">
        <is>
          <t>2026-10-14</t>
        </is>
      </c>
      <c r="L43" s="7" t="inlineStr">
        <is>
          <t>Suite automatizada</t>
        </is>
      </c>
      <c r="M43" s="7" t="inlineStr"/>
    </row>
    <row r="44">
      <c r="A44" s="7" t="inlineStr">
        <is>
          <t>TC-43</t>
        </is>
      </c>
      <c r="B44" s="7" t="inlineStr">
        <is>
          <t>Sprint 3</t>
        </is>
      </c>
      <c r="C44" s="7" t="inlineStr">
        <is>
          <t>QA calendario general (SCRUM-188)</t>
        </is>
      </c>
      <c r="D44" s="7" t="inlineStr">
        <is>
          <t>Rango inválido</t>
        </is>
      </c>
      <c r="E44" s="7" t="inlineStr">
        <is>
          <t>Rango inválido</t>
        </is>
      </c>
      <c r="F44" s="7" t="inlineStr">
        <is>
          <t>API levantada con WebApplicationFactory; sesión con el rol indicado en los pasos.</t>
        </is>
      </c>
      <c r="G44" s="7" t="inlineStr">
        <is>
          <t>SCRUM-</t>
        </is>
      </c>
      <c r="H44" s="7" t="inlineStr">
        <is>
          <t>1. from posterior a to  →  400 "El parámetro 'from' no puede ser posterior a 'to'."</t>
        </is>
      </c>
      <c r="I44" s="7" t="inlineStr">
        <is>
          <t>Get_WithFromAfterTo_Returns400</t>
        </is>
      </c>
      <c r="J44" s="7" t="inlineStr">
        <is>
          <t>OK</t>
        </is>
      </c>
      <c r="K44" s="7" t="inlineStr">
        <is>
          <t>2026-10-14</t>
        </is>
      </c>
      <c r="L44" s="7" t="inlineStr">
        <is>
          <t>Suite automatizada</t>
        </is>
      </c>
      <c r="M44" s="7" t="inlineStr"/>
    </row>
    <row r="45">
      <c r="A45" s="7" t="inlineStr">
        <is>
          <t>TC-44</t>
        </is>
      </c>
      <c r="B45" s="7" t="inlineStr">
        <is>
          <t>Sprint 3</t>
        </is>
      </c>
      <c r="C45" s="7" t="inlineStr">
        <is>
          <t>QA calendario general (SCRUM-188)</t>
        </is>
      </c>
      <c r="D45" s="7" t="inlineStr">
        <is>
          <t>Detalle de evento</t>
        </is>
      </c>
      <c r="E45" s="7" t="inlineStr">
        <is>
          <t>Detalle de evento</t>
        </is>
      </c>
      <c r="F45" s="7" t="inlineStr">
        <is>
          <t>API levantada con WebApplicationFactory; sesión con el rol indicado en los pasos.</t>
        </is>
      </c>
      <c r="G45" s="7" t="inlineStr">
        <is>
          <t>SCRUM-</t>
        </is>
      </c>
      <c r="H45" s="7" t="inlineStr">
        <is>
          <t>1. GET /api/general-calendar-events/{id} existente / inexistente  →  200 / 404 "El evento especificado no existe."</t>
        </is>
      </c>
      <c r="I45" s="7" t="inlineStr">
        <is>
          <t>GetById_KnownSeedTemplate_Returns200, GetById_Unknown_Returns404</t>
        </is>
      </c>
      <c r="J45" s="7" t="inlineStr">
        <is>
          <t>OK</t>
        </is>
      </c>
      <c r="K45" s="7" t="inlineStr">
        <is>
          <t>2026-10-14</t>
        </is>
      </c>
      <c r="L45" s="7" t="inlineStr">
        <is>
          <t>Suite automatizada</t>
        </is>
      </c>
      <c r="M45" s="7" t="inlineStr"/>
    </row>
    <row r="46">
      <c r="A46" s="7" t="inlineStr">
        <is>
          <t>TC-45</t>
        </is>
      </c>
      <c r="B46" s="7" t="inlineStr">
        <is>
          <t>Sprint 3</t>
        </is>
      </c>
      <c r="C46" s="7" t="inlineStr">
        <is>
          <t>QA calendario general (SCRUM-188)</t>
        </is>
      </c>
      <c r="D46" s="7" t="inlineStr">
        <is>
          <t>Sin sesión</t>
        </is>
      </c>
      <c r="E46" s="7" t="inlineStr">
        <is>
          <t>Sin sesión</t>
        </is>
      </c>
      <c r="F46" s="7" t="inlineStr">
        <is>
          <t>API levantada con WebApplicationFactory; sesión con el rol indicado en los pasos.</t>
        </is>
      </c>
      <c r="G46" s="7" t="inlineStr">
        <is>
          <t>SCRUM-</t>
        </is>
      </c>
      <c r="H46" s="7" t="inlineStr">
        <is>
          <t>1. GET sin token  →  401</t>
        </is>
      </c>
      <c r="I46" s="7" t="inlineStr">
        <is>
          <t>Get_WithoutToken_Returns401</t>
        </is>
      </c>
      <c r="J46" s="7" t="inlineStr">
        <is>
          <t>OK</t>
        </is>
      </c>
      <c r="K46" s="7" t="inlineStr">
        <is>
          <t>2026-10-14</t>
        </is>
      </c>
      <c r="L46" s="7" t="inlineStr">
        <is>
          <t>Suite automatizada</t>
        </is>
      </c>
      <c r="M46" s="7" t="inlineStr"/>
    </row>
    <row r="47">
      <c r="A47" s="7" t="inlineStr">
        <is>
          <t>TC-46</t>
        </is>
      </c>
      <c r="B47" s="7" t="inlineStr">
        <is>
          <t>Sprint 3</t>
        </is>
      </c>
      <c r="C47" s="7" t="inlineStr">
        <is>
          <t>QA creación de eventos (SCRUM-193)</t>
        </is>
      </c>
      <c r="D47" s="7" t="inlineStr">
        <is>
          <t>Crear evento (Referente)</t>
        </is>
      </c>
      <c r="E47" s="7" t="inlineStr">
        <is>
          <t>Crear evento (Referente)</t>
        </is>
      </c>
      <c r="F47" s="7" t="inlineStr">
        <is>
          <t>API levantada con WebApplicationFactory; sesión con el rol indicado en los pasos.</t>
        </is>
      </c>
      <c r="G47" s="7" t="inlineStr">
        <is>
          <t>SCRUM-</t>
        </is>
      </c>
      <c r="H47" s="7" t="inlineStr">
        <is>
          <t>1. POST /api/general-calendar-events {title, date, startTime, endTime}  →  201 con id</t>
        </is>
      </c>
      <c r="I47" s="7" t="inlineStr">
        <is>
          <t>Post_WithReferentRole_Returns201WithId</t>
        </is>
      </c>
      <c r="J47" s="7" t="inlineStr">
        <is>
          <t>OK</t>
        </is>
      </c>
      <c r="K47" s="7" t="inlineStr">
        <is>
          <t>2026-10-14</t>
        </is>
      </c>
      <c r="L47" s="7" t="inlineStr">
        <is>
          <t>Suite automatizada</t>
        </is>
      </c>
      <c r="M47" s="7" t="inlineStr"/>
    </row>
    <row r="48">
      <c r="A48" s="7" t="inlineStr">
        <is>
          <t>TC-47</t>
        </is>
      </c>
      <c r="B48" s="7" t="inlineStr">
        <is>
          <t>Sprint 3</t>
        </is>
      </c>
      <c r="C48" s="7" t="inlineStr">
        <is>
          <t>QA creación de eventos (SCRUM-193)</t>
        </is>
      </c>
      <c r="D48" s="7" t="inlineStr">
        <is>
          <t>Crear con rol no permitido</t>
        </is>
      </c>
      <c r="E48" s="7" t="inlineStr">
        <is>
          <t>Crear con rol no permitido</t>
        </is>
      </c>
      <c r="F48" s="7" t="inlineStr">
        <is>
          <t>API levantada con WebApplicationFactory; sesión con el rol indicado en los pasos.</t>
        </is>
      </c>
      <c r="G48" s="7" t="inlineStr">
        <is>
          <t>SCRUM-</t>
        </is>
      </c>
      <c r="H48" s="7" t="inlineStr">
        <is>
          <t>1. Mismo POST con Dir / Esc / Coo  →  403</t>
        </is>
      </c>
      <c r="I48" s="7" t="inlineStr">
        <is>
          <t>Post_WithNonReferentRoles_Returns403</t>
        </is>
      </c>
      <c r="J48" s="7" t="inlineStr">
        <is>
          <t>OK</t>
        </is>
      </c>
      <c r="K48" s="7" t="inlineStr">
        <is>
          <t>2026-10-14</t>
        </is>
      </c>
      <c r="L48" s="7" t="inlineStr">
        <is>
          <t>Suite automatizada</t>
        </is>
      </c>
      <c r="M48" s="7" t="inlineStr"/>
    </row>
    <row r="49">
      <c r="A49" s="7" t="inlineStr">
        <is>
          <t>TC-48</t>
        </is>
      </c>
      <c r="B49" s="7" t="inlineStr">
        <is>
          <t>Sprint 3</t>
        </is>
      </c>
      <c r="C49" s="7" t="inlineStr">
        <is>
          <t>QA creación de eventos (SCRUM-193)</t>
        </is>
      </c>
      <c r="D49" s="7" t="inlineStr">
        <is>
          <t>Sin sesión</t>
        </is>
      </c>
      <c r="E49" s="7" t="inlineStr">
        <is>
          <t>Sin sesión</t>
        </is>
      </c>
      <c r="F49" s="7" t="inlineStr">
        <is>
          <t>API levantada con WebApplicationFactory; sesión con el rol indicado en los pasos.</t>
        </is>
      </c>
      <c r="G49" s="7" t="inlineStr">
        <is>
          <t>SCRUM-</t>
        </is>
      </c>
      <c r="H49" s="7" t="inlineStr">
        <is>
          <t>1. POST sin token  →  401</t>
        </is>
      </c>
      <c r="I49" s="7" t="inlineStr">
        <is>
          <t>Post_WithoutToken_Returns401</t>
        </is>
      </c>
      <c r="J49" s="7" t="inlineStr">
        <is>
          <t>OK</t>
        </is>
      </c>
      <c r="K49" s="7" t="inlineStr">
        <is>
          <t>2026-10-14</t>
        </is>
      </c>
      <c r="L49" s="7" t="inlineStr">
        <is>
          <t>Suite automatizada</t>
        </is>
      </c>
      <c r="M49" s="7" t="inlineStr"/>
    </row>
    <row r="50">
      <c r="A50" s="7" t="inlineStr">
        <is>
          <t>TC-49</t>
        </is>
      </c>
      <c r="B50" s="7" t="inlineStr">
        <is>
          <t>Sprint 3</t>
        </is>
      </c>
      <c r="C50" s="7" t="inlineStr">
        <is>
          <t>QA creación de eventos (SCRUM-193)</t>
        </is>
      </c>
      <c r="D50" s="7" t="inlineStr">
        <is>
          <t>Título obligatorio</t>
        </is>
      </c>
      <c r="E50" s="7" t="inlineStr">
        <is>
          <t>Título obligatorio</t>
        </is>
      </c>
      <c r="F50" s="7" t="inlineStr">
        <is>
          <t>API levantada con WebApplicationFactory; sesión con el rol indicado en los pasos.</t>
        </is>
      </c>
      <c r="G50" s="7" t="inlineStr">
        <is>
          <t>SCRUM-</t>
        </is>
      </c>
      <c r="H50" s="7" t="inlineStr">
        <is>
          <t>1. title vacío  →  400 "El título del evento es obligatorio."</t>
        </is>
      </c>
      <c r="I50" s="7" t="inlineStr">
        <is>
          <t>Post_WithMissingTitle_Returns400</t>
        </is>
      </c>
      <c r="J50" s="7" t="inlineStr">
        <is>
          <t>OK</t>
        </is>
      </c>
      <c r="K50" s="7" t="inlineStr">
        <is>
          <t>2026-10-14</t>
        </is>
      </c>
      <c r="L50" s="7" t="inlineStr">
        <is>
          <t>Suite automatizada</t>
        </is>
      </c>
      <c r="M50" s="7" t="inlineStr"/>
    </row>
    <row r="51">
      <c r="A51" s="7" t="inlineStr">
        <is>
          <t>TC-50</t>
        </is>
      </c>
      <c r="B51" s="7" t="inlineStr">
        <is>
          <t>Sprint 3</t>
        </is>
      </c>
      <c r="C51" s="7" t="inlineStr">
        <is>
          <t>QA creación de eventos (SCRUM-193)</t>
        </is>
      </c>
      <c r="D51" s="7" t="inlineStr">
        <is>
          <t>Hora fin ≤ inicio</t>
        </is>
      </c>
      <c r="E51" s="7" t="inlineStr">
        <is>
          <t>Hora fin ≤ inicio</t>
        </is>
      </c>
      <c r="F51" s="7" t="inlineStr">
        <is>
          <t>API levantada con WebApplicationFactory; sesión con el rol indicado en los pasos.</t>
        </is>
      </c>
      <c r="G51" s="7" t="inlineStr">
        <is>
          <t>SCRUM-</t>
        </is>
      </c>
      <c r="H51" s="7" t="inlineStr">
        <is>
          <t>1. endTime &lt;= startTime  →  400 "La hora de fin debe ser posterior a la hora de inicio."</t>
        </is>
      </c>
      <c r="I51" s="7" t="inlineStr">
        <is>
          <t>Post_WithEndTimeNotAfterStartTime_Returns400</t>
        </is>
      </c>
      <c r="J51" s="7" t="inlineStr">
        <is>
          <t>OK</t>
        </is>
      </c>
      <c r="K51" s="7" t="inlineStr">
        <is>
          <t>2026-10-14</t>
        </is>
      </c>
      <c r="L51" s="7" t="inlineStr">
        <is>
          <t>Suite automatizada</t>
        </is>
      </c>
      <c r="M51" s="7" t="inlineStr"/>
    </row>
    <row r="52">
      <c r="A52" s="7" t="inlineStr">
        <is>
          <t>TC-51</t>
        </is>
      </c>
      <c r="B52" s="7" t="inlineStr">
        <is>
          <t>Sprint 3</t>
        </is>
      </c>
      <c r="C52" s="7" t="inlineStr">
        <is>
          <t>QA creación de eventos (SCRUM-193)</t>
        </is>
      </c>
      <c r="D52" s="7" t="inlineStr">
        <is>
          <t>Evento recurrente</t>
        </is>
      </c>
      <c r="E52" s="7" t="inlineStr">
        <is>
          <t>Evento recurrente</t>
        </is>
      </c>
      <c r="F52" s="7" t="inlineStr">
        <is>
          <t>API levantada con WebApplicationFactory; sesión con el rol indicado en los pasos.</t>
        </is>
      </c>
      <c r="G52" s="7" t="inlineStr">
        <is>
          <t>SCRUM-</t>
        </is>
      </c>
      <c r="H52" s="7" t="inlineStr">
        <is>
          <t>1. POST con recurrenceDays (flags de día) y listar el rango  →  Aparecen ocurrencias en cada día marcado</t>
        </is>
      </c>
      <c r="I52" s="7" t="inlineStr">
        <is>
          <t>CalendarEventOccurrenceExpanderTests (unit)</t>
        </is>
      </c>
      <c r="J52" s="7" t="inlineStr">
        <is>
          <t>OK</t>
        </is>
      </c>
      <c r="K52" s="7" t="inlineStr">
        <is>
          <t>2026-10-14</t>
        </is>
      </c>
      <c r="L52" s="7" t="inlineStr">
        <is>
          <t>Suite automatizada</t>
        </is>
      </c>
      <c r="M52" s="7" t="inlineStr"/>
    </row>
    <row r="53">
      <c r="A53" s="7" t="inlineStr">
        <is>
          <t>TC-52</t>
        </is>
      </c>
      <c r="B53" s="7" t="inlineStr">
        <is>
          <t>Sprint 3</t>
        </is>
      </c>
      <c r="C53" s="7" t="inlineStr">
        <is>
          <t>QA calendario personal (SCRUM-198)</t>
        </is>
      </c>
      <c r="D53" s="7" t="inlineStr">
        <is>
          <t>Solo veo mis eventos</t>
        </is>
      </c>
      <c r="E53" s="7" t="inlineStr">
        <is>
          <t>Solo veo mis eventos</t>
        </is>
      </c>
      <c r="F53" s="7" t="inlineStr">
        <is>
          <t>API levantada con WebApplicationFactory; sesión con el rol indicado en los pasos.</t>
        </is>
      </c>
      <c r="G53" s="7" t="inlineStr">
        <is>
          <t>SCRUM-16</t>
        </is>
      </c>
      <c r="H53" s="7" t="inlineStr">
        <is>
          <t>1. GET /api/personal-calendar-events con dos usuarios distintos  →  Cada uno ve únicamente los suyos</t>
        </is>
      </c>
      <c r="I53" s="7" t="inlineStr">
        <is>
          <t>Get_ReturnsOnlyEventsOwnedByCaller</t>
        </is>
      </c>
      <c r="J53" s="7" t="inlineStr">
        <is>
          <t>OK</t>
        </is>
      </c>
      <c r="K53" s="7" t="inlineStr">
        <is>
          <t>2026-10-14</t>
        </is>
      </c>
      <c r="L53" s="7" t="inlineStr">
        <is>
          <t>Suite automatizada</t>
        </is>
      </c>
      <c r="M53" s="7" t="inlineStr"/>
    </row>
    <row r="54">
      <c r="A54" s="7" t="inlineStr">
        <is>
          <t>TC-53</t>
        </is>
      </c>
      <c r="B54" s="7" t="inlineStr">
        <is>
          <t>Sprint 3</t>
        </is>
      </c>
      <c r="C54" s="7" t="inlineStr">
        <is>
          <t>QA calendario personal (SCRUM-198)</t>
        </is>
      </c>
      <c r="D54" s="7" t="inlineStr">
        <is>
          <t>Evento ajeno = inexistente</t>
        </is>
      </c>
      <c r="E54" s="7" t="inlineStr">
        <is>
          <t>Evento ajeno = inexistente</t>
        </is>
      </c>
      <c r="F54" s="7" t="inlineStr">
        <is>
          <t>API levantada con WebApplicationFactory; sesión con el rol indicado en los pasos.</t>
        </is>
      </c>
      <c r="G54" s="7" t="inlineStr">
        <is>
          <t>SCRUM-16</t>
        </is>
      </c>
      <c r="H54" s="7" t="inlineStr">
        <is>
          <t>1. GET /{id} de evento de otro usuario  →  404 (no revela existencia)</t>
        </is>
      </c>
      <c r="I54" s="7" t="inlineStr">
        <is>
          <t>GetById_OtherUsersEvent_Returns404</t>
        </is>
      </c>
      <c r="J54" s="7" t="inlineStr">
        <is>
          <t>OK</t>
        </is>
      </c>
      <c r="K54" s="7" t="inlineStr">
        <is>
          <t>2026-10-14</t>
        </is>
      </c>
      <c r="L54" s="7" t="inlineStr">
        <is>
          <t>Suite automatizada</t>
        </is>
      </c>
      <c r="M54" s="7" t="inlineStr"/>
    </row>
    <row r="55">
      <c r="A55" s="7" t="inlineStr">
        <is>
          <t>TC-54</t>
        </is>
      </c>
      <c r="B55" s="7" t="inlineStr">
        <is>
          <t>Sprint 3</t>
        </is>
      </c>
      <c r="C55" s="7" t="inlineStr">
        <is>
          <t>QA calendario personal (SCRUM-198)</t>
        </is>
      </c>
      <c r="D55" s="7" t="inlineStr">
        <is>
          <t>Detalle propio</t>
        </is>
      </c>
      <c r="E55" s="7" t="inlineStr">
        <is>
          <t>Detalle propio</t>
        </is>
      </c>
      <c r="F55" s="7" t="inlineStr">
        <is>
          <t>API levantada con WebApplicationFactory; sesión con el rol indicado en los pasos.</t>
        </is>
      </c>
      <c r="G55" s="7" t="inlineStr">
        <is>
          <t>SCRUM-16</t>
        </is>
      </c>
      <c r="H55" s="7" t="inlineStr">
        <is>
          <t>1. GET /{id} propio  →  200</t>
        </is>
      </c>
      <c r="I55" s="7" t="inlineStr">
        <is>
          <t>GetById_OwnEvent_Returns200</t>
        </is>
      </c>
      <c r="J55" s="7" t="inlineStr">
        <is>
          <t>OK</t>
        </is>
      </c>
      <c r="K55" s="7" t="inlineStr">
        <is>
          <t>2026-10-14</t>
        </is>
      </c>
      <c r="L55" s="7" t="inlineStr">
        <is>
          <t>Suite automatizada</t>
        </is>
      </c>
      <c r="M55" s="7" t="inlineStr"/>
    </row>
    <row r="56">
      <c r="A56" s="7" t="inlineStr">
        <is>
          <t>TC-55</t>
        </is>
      </c>
      <c r="B56" s="7" t="inlineStr">
        <is>
          <t>Sprint 3</t>
        </is>
      </c>
      <c r="C56" s="7" t="inlineStr">
        <is>
          <t>QA calendario personal (SCRUM-198)</t>
        </is>
      </c>
      <c r="D56" s="7" t="inlineStr">
        <is>
          <t>Roles / sesión / rango</t>
        </is>
      </c>
      <c r="E56" s="7" t="inlineStr">
        <is>
          <t>Roles / sesión / rango</t>
        </is>
      </c>
      <c r="F56" s="7" t="inlineStr">
        <is>
          <t>API levantada con WebApplicationFactory; sesión con el rol indicado en los pasos.</t>
        </is>
      </c>
      <c r="G56" s="7" t="inlineStr">
        <is>
          <t>SCRUM-16</t>
        </is>
      </c>
      <c r="H56" s="7" t="inlineStr">
        <is>
          <t>1. Rol autorizado, sin token, from&gt;to  →  200 / 401 / 400</t>
        </is>
      </c>
      <c r="I56" s="7" t="inlineStr">
        <is>
          <t>Get_WithEachAuthorizedRole_Returns200, Get_WithoutToken_Returns401, Get_WithFromAfterTo_Returns400</t>
        </is>
      </c>
      <c r="J56" s="7" t="inlineStr">
        <is>
          <t>OK</t>
        </is>
      </c>
      <c r="K56" s="7" t="inlineStr">
        <is>
          <t>2026-10-14</t>
        </is>
      </c>
      <c r="L56" s="7" t="inlineStr">
        <is>
          <t>Suite automatizada</t>
        </is>
      </c>
      <c r="M56" s="7" t="inlineStr"/>
    </row>
    <row r="57">
      <c r="A57" s="7" t="inlineStr">
        <is>
          <t>TC-56</t>
        </is>
      </c>
      <c r="B57" s="7" t="inlineStr">
        <is>
          <t>Sprint 3</t>
        </is>
      </c>
      <c r="C57" s="7" t="inlineStr">
        <is>
          <t>QA alta de colaborador (SCRUM-203)</t>
        </is>
      </c>
      <c r="D57" s="7" t="inlineStr">
        <is>
          <t>Alta exitosa</t>
        </is>
      </c>
      <c r="E57" s="7" t="inlineStr">
        <is>
          <t>Alta exitosa</t>
        </is>
      </c>
      <c r="F57" s="7" t="inlineStr">
        <is>
          <t>API levantada con WebApplicationFactory; sesión con el rol indicado en los pasos.</t>
        </is>
      </c>
      <c r="G57" s="7" t="inlineStr">
        <is>
          <t>SCRUM-17</t>
        </is>
      </c>
      <c r="H57" s="7" t="inlineStr">
        <is>
          <t>1. POST /api/collaborators con Ref  →  201 con id</t>
        </is>
      </c>
      <c r="I57" s="7" t="inlineStr">
        <is>
          <t>Post_WithReferente_Returns201WithId</t>
        </is>
      </c>
      <c r="J57" s="7" t="inlineStr">
        <is>
          <t>OK</t>
        </is>
      </c>
      <c r="K57" s="7" t="inlineStr">
        <is>
          <t>2026-10-14</t>
        </is>
      </c>
      <c r="L57" s="7" t="inlineStr">
        <is>
          <t>Suite automatizada</t>
        </is>
      </c>
      <c r="M57" s="7" t="inlineStr"/>
    </row>
    <row r="58">
      <c r="A58" s="7" t="inlineStr">
        <is>
          <t>TC-57</t>
        </is>
      </c>
      <c r="B58" s="7" t="inlineStr">
        <is>
          <t>Sprint 3</t>
        </is>
      </c>
      <c r="C58" s="7" t="inlineStr">
        <is>
          <t>QA alta de colaborador (SCRUM-203)</t>
        </is>
      </c>
      <c r="D58" s="7" t="inlineStr">
        <is>
          <t>Alta con solo nombre</t>
        </is>
      </c>
      <c r="E58" s="7" t="inlineStr">
        <is>
          <t>Alta con solo nombre</t>
        </is>
      </c>
      <c r="F58" s="7" t="inlineStr">
        <is>
          <t>API levantada con WebApplicationFactory; sesión con el rol indicado en los pasos.</t>
        </is>
      </c>
      <c r="G58" s="7" t="inlineStr">
        <is>
          <t>SCRUM-17</t>
        </is>
      </c>
      <c r="H58" s="7" t="inlineStr">
        <is>
          <t>1. Campos opcionales nulos  →  201</t>
        </is>
      </c>
      <c r="I58" s="7" t="inlineStr">
        <is>
          <t>Post_WithNullOptionalFields_Returns201</t>
        </is>
      </c>
      <c r="J58" s="7" t="inlineStr">
        <is>
          <t>OK</t>
        </is>
      </c>
      <c r="K58" s="7" t="inlineStr">
        <is>
          <t>2026-10-14</t>
        </is>
      </c>
      <c r="L58" s="7" t="inlineStr">
        <is>
          <t>Suite automatizada</t>
        </is>
      </c>
      <c r="M58" s="7" t="inlineStr"/>
    </row>
    <row r="59">
      <c r="A59" s="7" t="inlineStr">
        <is>
          <t>TC-58</t>
        </is>
      </c>
      <c r="B59" s="7" t="inlineStr">
        <is>
          <t>Sprint 3</t>
        </is>
      </c>
      <c r="C59" s="7" t="inlineStr">
        <is>
          <t>QA alta de colaborador (SCRUM-203)</t>
        </is>
      </c>
      <c r="D59" s="7" t="inlineStr">
        <is>
          <t>Rol no permitido</t>
        </is>
      </c>
      <c r="E59" s="7" t="inlineStr">
        <is>
          <t>Rol no permitido</t>
        </is>
      </c>
      <c r="F59" s="7" t="inlineStr">
        <is>
          <t>API levantada con WebApplicationFactory; sesión con el rol indicado en los pasos.</t>
        </is>
      </c>
      <c r="G59" s="7" t="inlineStr">
        <is>
          <t>SCRUM-17</t>
        </is>
      </c>
      <c r="H59" s="7" t="inlineStr">
        <is>
          <t>1. POST con Dir / Esc / Coo  →  403</t>
        </is>
      </c>
      <c r="I59" s="7" t="inlineStr">
        <is>
          <t>Post_WithUnauthorizedRole_Returns403</t>
        </is>
      </c>
      <c r="J59" s="7" t="inlineStr">
        <is>
          <t>OK</t>
        </is>
      </c>
      <c r="K59" s="7" t="inlineStr">
        <is>
          <t>2026-10-14</t>
        </is>
      </c>
      <c r="L59" s="7" t="inlineStr">
        <is>
          <t>Suite automatizada</t>
        </is>
      </c>
      <c r="M59" s="7" t="inlineStr"/>
    </row>
    <row r="60">
      <c r="A60" s="7" t="inlineStr">
        <is>
          <t>TC-59</t>
        </is>
      </c>
      <c r="B60" s="7" t="inlineStr">
        <is>
          <t>Sprint 3</t>
        </is>
      </c>
      <c r="C60" s="7" t="inlineStr">
        <is>
          <t>QA alta de colaborador (SCRUM-203)</t>
        </is>
      </c>
      <c r="D60" s="7" t="inlineStr">
        <is>
          <t>Sin sesión</t>
        </is>
      </c>
      <c r="E60" s="7" t="inlineStr">
        <is>
          <t>Sin sesión</t>
        </is>
      </c>
      <c r="F60" s="7" t="inlineStr">
        <is>
          <t>API levantada con WebApplicationFactory; sesión con el rol indicado en los pasos.</t>
        </is>
      </c>
      <c r="G60" s="7" t="inlineStr">
        <is>
          <t>SCRUM-17</t>
        </is>
      </c>
      <c r="H60" s="7" t="inlineStr">
        <is>
          <t>1. POST sin token  →  401</t>
        </is>
      </c>
      <c r="I60" s="7" t="inlineStr">
        <is>
          <t>Post_WithoutToken_Returns401</t>
        </is>
      </c>
      <c r="J60" s="7" t="inlineStr">
        <is>
          <t>OK</t>
        </is>
      </c>
      <c r="K60" s="7" t="inlineStr">
        <is>
          <t>2026-10-14</t>
        </is>
      </c>
      <c r="L60" s="7" t="inlineStr">
        <is>
          <t>Suite automatizada</t>
        </is>
      </c>
      <c r="M60" s="7" t="inlineStr"/>
    </row>
    <row r="61">
      <c r="A61" s="7" t="inlineStr">
        <is>
          <t>TC-60</t>
        </is>
      </c>
      <c r="B61" s="7" t="inlineStr">
        <is>
          <t>Sprint 3</t>
        </is>
      </c>
      <c r="C61" s="7" t="inlineStr">
        <is>
          <t>QA alta de colaborador (SCRUM-203)</t>
        </is>
      </c>
      <c r="D61" s="7" t="inlineStr">
        <is>
          <t>Nombre obligatorio</t>
        </is>
      </c>
      <c r="E61" s="7" t="inlineStr">
        <is>
          <t>Nombre obligatorio</t>
        </is>
      </c>
      <c r="F61" s="7" t="inlineStr">
        <is>
          <t>API levantada con WebApplicationFactory; sesión con el rol indicado en los pasos.</t>
        </is>
      </c>
      <c r="G61" s="7" t="inlineStr">
        <is>
          <t>SCRUM-17</t>
        </is>
      </c>
      <c r="H61" s="7" t="inlineStr">
        <is>
          <t>1. firstName vacío  →  400 "El nombre es obligatorio."</t>
        </is>
      </c>
      <c r="I61" s="7" t="inlineStr">
        <is>
          <t>Post_WithMissingFirstName_Returns400</t>
        </is>
      </c>
      <c r="J61" s="7" t="inlineStr">
        <is>
          <t>OK</t>
        </is>
      </c>
      <c r="K61" s="7" t="inlineStr">
        <is>
          <t>2026-10-14</t>
        </is>
      </c>
      <c r="L61" s="7" t="inlineStr">
        <is>
          <t>Suite automatizada</t>
        </is>
      </c>
      <c r="M61" s="7" t="inlineStr"/>
    </row>
    <row r="62">
      <c r="A62" s="7" t="inlineStr">
        <is>
          <t>TC-61</t>
        </is>
      </c>
      <c r="B62" s="7" t="inlineStr">
        <is>
          <t>Sprint 3</t>
        </is>
      </c>
      <c r="C62" s="7" t="inlineStr">
        <is>
          <t>QA alta de colaborador (SCRUM-203)</t>
        </is>
      </c>
      <c r="D62" s="7" t="inlineStr">
        <is>
          <t>Nombre muy largo</t>
        </is>
      </c>
      <c r="E62" s="7" t="inlineStr">
        <is>
          <t>Nombre muy largo</t>
        </is>
      </c>
      <c r="F62" s="7" t="inlineStr">
        <is>
          <t>API levantada con WebApplicationFactory; sesión con el rol indicado en los pasos.</t>
        </is>
      </c>
      <c r="G62" s="7" t="inlineStr">
        <is>
          <t>SCRUM-17</t>
        </is>
      </c>
      <c r="H62" s="7" t="inlineStr">
        <is>
          <t>1. &gt;100 caracteres  →  400</t>
        </is>
      </c>
      <c r="I62" s="7" t="inlineStr">
        <is>
          <t>Post_WithTooLongFirstName_Returns400</t>
        </is>
      </c>
      <c r="J62" s="7" t="inlineStr">
        <is>
          <t>OK</t>
        </is>
      </c>
      <c r="K62" s="7" t="inlineStr">
        <is>
          <t>2026-10-14</t>
        </is>
      </c>
      <c r="L62" s="7" t="inlineStr">
        <is>
          <t>Suite automatizada</t>
        </is>
      </c>
      <c r="M62" s="7" t="inlineStr"/>
    </row>
    <row r="63">
      <c r="A63" s="7" t="inlineStr">
        <is>
          <t>TC-62</t>
        </is>
      </c>
      <c r="B63" s="7" t="inlineStr">
        <is>
          <t>Sprint 3</t>
        </is>
      </c>
      <c r="C63" s="7" t="inlineStr">
        <is>
          <t>QA alta de colaborador (SCRUM-203)</t>
        </is>
      </c>
      <c r="D63" s="7" t="inlineStr">
        <is>
          <t>Email inválido</t>
        </is>
      </c>
      <c r="E63" s="7" t="inlineStr">
        <is>
          <t>Email inválido</t>
        </is>
      </c>
      <c r="F63" s="7" t="inlineStr">
        <is>
          <t>API levantada con WebApplicationFactory; sesión con el rol indicado en los pasos.</t>
        </is>
      </c>
      <c r="G63" s="7" t="inlineStr">
        <is>
          <t>SCRUM-17</t>
        </is>
      </c>
      <c r="H63" s="7" t="inlineStr">
        <is>
          <t>1. email: "abc"  →  400 "El email no tiene un formato válido."</t>
        </is>
      </c>
      <c r="I63" s="7" t="inlineStr">
        <is>
          <t>Post_WithInvalidEmail_Returns400</t>
        </is>
      </c>
      <c r="J63" s="7" t="inlineStr">
        <is>
          <t>OK</t>
        </is>
      </c>
      <c r="K63" s="7" t="inlineStr">
        <is>
          <t>2026-10-14</t>
        </is>
      </c>
      <c r="L63" s="7" t="inlineStr">
        <is>
          <t>Suite automatizada</t>
        </is>
      </c>
      <c r="M63" s="7" t="inlineStr"/>
    </row>
    <row r="64">
      <c r="A64" s="7" t="inlineStr">
        <is>
          <t>TC-63</t>
        </is>
      </c>
      <c r="B64" s="7" t="inlineStr">
        <is>
          <t>Sprint 3</t>
        </is>
      </c>
      <c r="C64" s="7" t="inlineStr">
        <is>
          <t>QA alta de colaborador (SCRUM-203)</t>
        </is>
      </c>
      <c r="D64" s="7" t="inlineStr">
        <is>
          <t>DNI duplicado</t>
        </is>
      </c>
      <c r="E64" s="7" t="inlineStr">
        <is>
          <t>DNI duplicado</t>
        </is>
      </c>
      <c r="F64" s="7" t="inlineStr">
        <is>
          <t>API levantada con WebApplicationFactory; sesión con el rol indicado en los pasos.</t>
        </is>
      </c>
      <c r="G64" s="7" t="inlineStr">
        <is>
          <t>SCRUM-17</t>
        </is>
      </c>
      <c r="H64" s="7" t="inlineStr">
        <is>
          <t>1. Dos altas con igual DNI  →  409</t>
        </is>
      </c>
      <c r="I64" s="7" t="inlineStr">
        <is>
          <t>Post_WithDuplicateDni_Returns409</t>
        </is>
      </c>
      <c r="J64" s="7" t="inlineStr">
        <is>
          <t>OK</t>
        </is>
      </c>
      <c r="K64" s="7" t="inlineStr">
        <is>
          <t>2026-10-14</t>
        </is>
      </c>
      <c r="L64" s="7" t="inlineStr">
        <is>
          <t>Suite automatizada</t>
        </is>
      </c>
      <c r="M64" s="7" t="inlineStr"/>
    </row>
    <row r="65">
      <c r="A65" s="7" t="inlineStr">
        <is>
          <t>TC-64</t>
        </is>
      </c>
      <c r="B65" s="7" t="inlineStr">
        <is>
          <t>Sprint 3</t>
        </is>
      </c>
      <c r="C65" s="7" t="inlineStr">
        <is>
          <t>QA alta de colaborador (SCRUM-203)</t>
        </is>
      </c>
      <c r="D65" s="7" t="inlineStr">
        <is>
          <t>Auditoría y autor</t>
        </is>
      </c>
      <c r="E65" s="7" t="inlineStr">
        <is>
          <t>Auditoría y autor</t>
        </is>
      </c>
      <c r="F65" s="7" t="inlineStr">
        <is>
          <t>API levantada con WebApplicationFactory; sesión con el rol indicado en los pasos.</t>
        </is>
      </c>
      <c r="G65" s="7" t="inlineStr">
        <is>
          <t>SCRUM-17</t>
        </is>
      </c>
      <c r="H65" s="7" t="inlineStr">
        <is>
          <t>1. Alta y revisar BD  →  Se guarda el actor y se escribe AuditLog</t>
        </is>
      </c>
      <c r="I65" s="7" t="inlineStr">
        <is>
          <t>Post_PersistsCollaboratorWithActorAndWritesAuditLog</t>
        </is>
      </c>
      <c r="J65" s="7" t="inlineStr">
        <is>
          <t>OK</t>
        </is>
      </c>
      <c r="K65" s="7" t="inlineStr">
        <is>
          <t>2026-10-14</t>
        </is>
      </c>
      <c r="L65" s="7" t="inlineStr">
        <is>
          <t>Suite automatizada</t>
        </is>
      </c>
      <c r="M65" s="7" t="inlineStr"/>
    </row>
    <row r="66">
      <c r="A66" s="7" t="inlineStr">
        <is>
          <t>TC-65</t>
        </is>
      </c>
      <c r="B66" s="7" t="inlineStr">
        <is>
          <t>Sprint 3</t>
        </is>
      </c>
      <c r="C66" s="7" t="inlineStr">
        <is>
          <t>QA búsqueda de colaboradores (SCRUM-208)</t>
        </is>
      </c>
      <c r="D66" s="7" t="inlineStr">
        <is>
          <t>Buscar por nombre</t>
        </is>
      </c>
      <c r="E66" s="7" t="inlineStr">
        <is>
          <t>Buscar por nombre</t>
        </is>
      </c>
      <c r="F66" s="7" t="inlineStr">
        <is>
          <t>API levantada con WebApplicationFactory; sesión con el rol indicado en los pasos.</t>
        </is>
      </c>
      <c r="G66" s="7" t="inlineStr">
        <is>
          <t>SCRUM-18</t>
        </is>
      </c>
      <c r="H66" s="7" t="inlineStr">
        <is>
          <t>1. GET /api/collaborators/search?q=ana  →  200 con coincidencias</t>
        </is>
      </c>
      <c r="I66" s="7" t="inlineStr">
        <is>
          <t>Search_WithToken_Returns200WithMatch</t>
        </is>
      </c>
      <c r="J66" s="7" t="inlineStr">
        <is>
          <t>OK</t>
        </is>
      </c>
      <c r="K66" s="7" t="inlineStr">
        <is>
          <t>2026-10-14</t>
        </is>
      </c>
      <c r="L66" s="7" t="inlineStr">
        <is>
          <t>Suite automatizada</t>
        </is>
      </c>
      <c r="M66" s="7" t="inlineStr"/>
    </row>
    <row r="67">
      <c r="A67" s="7" t="inlineStr">
        <is>
          <t>TC-66</t>
        </is>
      </c>
      <c r="B67" s="7" t="inlineStr">
        <is>
          <t>Sprint 3</t>
        </is>
      </c>
      <c r="C67" s="7" t="inlineStr">
        <is>
          <t>QA búsqueda de colaboradores (SCRUM-208)</t>
        </is>
      </c>
      <c r="D67" s="7" t="inlineStr">
        <is>
          <t>Ignora tildes y mayúsculas</t>
        </is>
      </c>
      <c r="E67" s="7" t="inlineStr">
        <is>
          <t>Ignora tildes y mayúsculas</t>
        </is>
      </c>
      <c r="F67" s="7" t="inlineStr">
        <is>
          <t>API levantada con WebApplicationFactory; sesión con el rol indicado en los pasos.</t>
        </is>
      </c>
      <c r="G67" s="7" t="inlineStr">
        <is>
          <t>SCRUM-18</t>
        </is>
      </c>
      <c r="H67" s="7" t="inlineStr">
        <is>
          <t>1. q=JOSE vs "José"  →  Encuentra</t>
        </is>
      </c>
      <c r="I67" s="7" t="inlineStr">
        <is>
          <t>Search_IgnoresAccentsAndCase, Search_ByLastNameWithoutAccents_FindsCollaborator</t>
        </is>
      </c>
      <c r="J67" s="7" t="inlineStr">
        <is>
          <t>OK</t>
        </is>
      </c>
      <c r="K67" s="7" t="inlineStr">
        <is>
          <t>2026-10-14</t>
        </is>
      </c>
      <c r="L67" s="7" t="inlineStr">
        <is>
          <t>Suite automatizada</t>
        </is>
      </c>
      <c r="M67" s="7" t="inlineStr"/>
    </row>
    <row r="68">
      <c r="A68" s="7" t="inlineStr">
        <is>
          <t>TC-67</t>
        </is>
      </c>
      <c r="B68" s="7" t="inlineStr">
        <is>
          <t>Sprint 3</t>
        </is>
      </c>
      <c r="C68" s="7" t="inlineStr">
        <is>
          <t>QA búsqueda de colaboradores (SCRUM-208)</t>
        </is>
      </c>
      <c r="D68" s="7" t="inlineStr">
        <is>
          <t>Buscar por área</t>
        </is>
      </c>
      <c r="E68" s="7" t="inlineStr">
        <is>
          <t>Buscar por área</t>
        </is>
      </c>
      <c r="F68" s="7" t="inlineStr">
        <is>
          <t>API levantada con WebApplicationFactory; sesión con el rol indicado en los pasos.</t>
        </is>
      </c>
      <c r="G68" s="7" t="inlineStr">
        <is>
          <t>SCRUM-18</t>
        </is>
      </c>
      <c r="H68" s="7" t="inlineStr">
        <is>
          <t>1. q=cocina  →  Encuentra por workArea</t>
        </is>
      </c>
      <c r="I68" s="7" t="inlineStr">
        <is>
          <t>Search_ByWorkArea_FindsCollaborator</t>
        </is>
      </c>
      <c r="J68" s="7" t="inlineStr">
        <is>
          <t>OK</t>
        </is>
      </c>
      <c r="K68" s="7" t="inlineStr">
        <is>
          <t>2026-10-14</t>
        </is>
      </c>
      <c r="L68" s="7" t="inlineStr">
        <is>
          <t>Suite automatizada</t>
        </is>
      </c>
      <c r="M68" s="7" t="inlineStr"/>
    </row>
    <row r="69">
      <c r="A69" s="7" t="inlineStr">
        <is>
          <t>TC-68</t>
        </is>
      </c>
      <c r="B69" s="7" t="inlineStr">
        <is>
          <t>Sprint 3</t>
        </is>
      </c>
      <c r="C69" s="7" t="inlineStr">
        <is>
          <t>QA búsqueda de colaboradores (SCRUM-208)</t>
        </is>
      </c>
      <c r="D69" s="7" t="inlineStr">
        <is>
          <t>Filtro por tipo</t>
        </is>
      </c>
      <c r="E69" s="7" t="inlineStr">
        <is>
          <t>Filtro por tipo</t>
        </is>
      </c>
      <c r="F69" s="7" t="inlineStr">
        <is>
          <t>API levantada con WebApplicationFactory; sesión con el rol indicado en los pasos.</t>
        </is>
      </c>
      <c r="G69" s="7" t="inlineStr">
        <is>
          <t>SCRUM-18</t>
        </is>
      </c>
      <c r="H69" s="7" t="inlineStr">
        <is>
          <t>1. type=Volunteer / Employee  →  Solo ese tipo</t>
        </is>
      </c>
      <c r="I69" s="7" t="inlineStr">
        <is>
          <t>Search_WithTypeFilter_ReturnsOnlyThatType</t>
        </is>
      </c>
      <c r="J69" s="7" t="inlineStr">
        <is>
          <t>OK</t>
        </is>
      </c>
      <c r="K69" s="7" t="inlineStr">
        <is>
          <t>2026-10-14</t>
        </is>
      </c>
      <c r="L69" s="7" t="inlineStr">
        <is>
          <t>Suite automatizada</t>
        </is>
      </c>
      <c r="M69" s="7" t="inlineStr"/>
    </row>
    <row r="70">
      <c r="A70" s="7" t="inlineStr">
        <is>
          <t>TC-69</t>
        </is>
      </c>
      <c r="B70" s="7" t="inlineStr">
        <is>
          <t>Sprint 3</t>
        </is>
      </c>
      <c r="C70" s="7" t="inlineStr">
        <is>
          <t>QA búsqueda de colaboradores (SCRUM-208)</t>
        </is>
      </c>
      <c r="D70" s="7" t="inlineStr">
        <is>
          <t>Sin resultados / vacío</t>
        </is>
      </c>
      <c r="E70" s="7" t="inlineStr">
        <is>
          <t>Sin resultados / vacío</t>
        </is>
      </c>
      <c r="F70" s="7" t="inlineStr">
        <is>
          <t>API levantada con WebApplicationFactory; sesión con el rol indicado en los pasos.</t>
        </is>
      </c>
      <c r="G70" s="7" t="inlineStr">
        <is>
          <t>SCRUM-18</t>
        </is>
      </c>
      <c r="H70" s="7" t="inlineStr">
        <is>
          <t>1. q vacío o nulo  →  200 lista vacía</t>
        </is>
      </c>
      <c r="I70" s="7" t="inlineStr">
        <is>
          <t>Search_WithEmptyOrNullQuery_Returns200WithEmptyList</t>
        </is>
      </c>
      <c r="J70" s="7" t="inlineStr">
        <is>
          <t>OK</t>
        </is>
      </c>
      <c r="K70" s="7" t="inlineStr">
        <is>
          <t>2026-10-14</t>
        </is>
      </c>
      <c r="L70" s="7" t="inlineStr">
        <is>
          <t>Suite automatizada</t>
        </is>
      </c>
      <c r="M70" s="7" t="inlineStr"/>
    </row>
    <row r="71">
      <c r="A71" s="7" t="inlineStr">
        <is>
          <t>TC-70</t>
        </is>
      </c>
      <c r="B71" s="7" t="inlineStr">
        <is>
          <t>Sprint 3</t>
        </is>
      </c>
      <c r="C71" s="7" t="inlineStr">
        <is>
          <t>QA búsqueda de colaboradores (SCRUM-208)</t>
        </is>
      </c>
      <c r="D71" s="7" t="inlineStr">
        <is>
          <t>Entrada inválida</t>
        </is>
      </c>
      <c r="E71" s="7" t="inlineStr">
        <is>
          <t>Entrada inválida</t>
        </is>
      </c>
      <c r="F71" s="7" t="inlineStr">
        <is>
          <t>API levantada con WebApplicationFactory; sesión con el rol indicado en los pasos.</t>
        </is>
      </c>
      <c r="G71" s="7" t="inlineStr">
        <is>
          <t>SCRUM-18</t>
        </is>
      </c>
      <c r="H71" s="7" t="inlineStr">
        <is>
          <t>1. q &gt;100 chars; type inválido  →  400 con mensaje en español</t>
        </is>
      </c>
      <c r="I71" s="7" t="inlineStr">
        <is>
          <t>Search_WithTooLongQuery_Returns400WithSpanishMessage, Search_WithInvalidTypeValue_Returns400</t>
        </is>
      </c>
      <c r="J71" s="7" t="inlineStr">
        <is>
          <t>OK</t>
        </is>
      </c>
      <c r="K71" s="7" t="inlineStr">
        <is>
          <t>2026-10-14</t>
        </is>
      </c>
      <c r="L71" s="7" t="inlineStr">
        <is>
          <t>Suite automatizada</t>
        </is>
      </c>
      <c r="M71" s="7" t="inlineStr"/>
    </row>
    <row r="72">
      <c r="A72" s="7" t="inlineStr">
        <is>
          <t>TC-71</t>
        </is>
      </c>
      <c r="B72" s="7" t="inlineStr">
        <is>
          <t>Sprint 3</t>
        </is>
      </c>
      <c r="C72" s="7" t="inlineStr">
        <is>
          <t>QA búsqueda de colaboradores (SCRUM-208)</t>
        </is>
      </c>
      <c r="D72" s="7" t="inlineStr">
        <is>
          <t>Comodín `%` literal</t>
        </is>
      </c>
      <c r="E72" s="7" t="inlineStr">
        <is>
          <t>Comodín `%` literal</t>
        </is>
      </c>
      <c r="F72" s="7" t="inlineStr">
        <is>
          <t>API levantada con WebApplicationFactory; sesión con el rol indicado en los pasos.</t>
        </is>
      </c>
      <c r="G72" s="7" t="inlineStr">
        <is>
          <t>SCRUM-18</t>
        </is>
      </c>
      <c r="H72" s="7" t="inlineStr">
        <is>
          <t>1. q=%  →  Solo coincide con % literal</t>
        </is>
      </c>
      <c r="I72" s="7" t="inlineStr">
        <is>
          <t>Search_WithPercentWildcard_MatchesOnlyLiteralPercent</t>
        </is>
      </c>
      <c r="J72" s="7" t="inlineStr">
        <is>
          <t>OK</t>
        </is>
      </c>
      <c r="K72" s="7" t="inlineStr">
        <is>
          <t>2026-10-14</t>
        </is>
      </c>
      <c r="L72" s="7" t="inlineStr">
        <is>
          <t>Suite automatizada</t>
        </is>
      </c>
      <c r="M72" s="7" t="inlineStr"/>
    </row>
    <row r="73">
      <c r="A73" s="7" t="inlineStr">
        <is>
          <t>TC-72</t>
        </is>
      </c>
      <c r="B73" s="7" t="inlineStr">
        <is>
          <t>Sprint 3</t>
        </is>
      </c>
      <c r="C73" s="7" t="inlineStr">
        <is>
          <t>QA búsqueda de colaboradores (SCRUM-208)</t>
        </is>
      </c>
      <c r="D73" s="7" t="inlineStr">
        <is>
          <t>Sin sesión</t>
        </is>
      </c>
      <c r="E73" s="7" t="inlineStr">
        <is>
          <t>Sin sesión</t>
        </is>
      </c>
      <c r="F73" s="7" t="inlineStr">
        <is>
          <t>API levantada con WebApplicationFactory; sesión con el rol indicado en los pasos.</t>
        </is>
      </c>
      <c r="G73" s="7" t="inlineStr">
        <is>
          <t>SCRUM-18</t>
        </is>
      </c>
      <c r="H73" s="7" t="inlineStr">
        <is>
          <t>1. GET sin token  →  401</t>
        </is>
      </c>
      <c r="I73" s="7" t="inlineStr">
        <is>
          <t>Search_WithoutToken_Returns401</t>
        </is>
      </c>
      <c r="J73" s="7" t="inlineStr">
        <is>
          <t>OK</t>
        </is>
      </c>
      <c r="K73" s="7" t="inlineStr">
        <is>
          <t>2026-10-14</t>
        </is>
      </c>
      <c r="L73" s="7" t="inlineStr">
        <is>
          <t>Suite automatizada</t>
        </is>
      </c>
      <c r="M73" s="7" t="inlineStr"/>
    </row>
    <row r="74">
      <c r="A74" s="7" t="inlineStr">
        <is>
          <t>TC-73</t>
        </is>
      </c>
      <c r="B74" s="7" t="inlineStr">
        <is>
          <t>Sprint 3</t>
        </is>
      </c>
      <c r="C74" s="7" t="inlineStr">
        <is>
          <t>QA calendario de visitas (SCRUM-215)</t>
        </is>
      </c>
      <c r="D74" s="7" t="inlineStr">
        <is>
          <t>Alta de visita (Ref/Dir/Coo)</t>
        </is>
      </c>
      <c r="E74" s="7" t="inlineStr">
        <is>
          <t>Alta de visita (Ref/Dir/Coo)</t>
        </is>
      </c>
      <c r="F74" s="7" t="inlineStr">
        <is>
          <t>API levantada con WebApplicationFactory; sesión con el rol indicado en los pasos.</t>
        </is>
      </c>
      <c r="G74" s="7" t="inlineStr">
        <is>
          <t>SCRUM-19</t>
        </is>
      </c>
      <c r="H74" s="7" t="inlineStr">
        <is>
          <t>1. POST /api/casona-visits {personId, visitorName, date, startTime, estimatedDurationMinutes}  →  201; queda Pendiente</t>
        </is>
      </c>
      <c r="I74" s="7" t="inlineStr">
        <is>
          <t>Post_WithEachAuthorizedRole_Returns201WithId</t>
        </is>
      </c>
      <c r="J74" s="7" t="inlineStr">
        <is>
          <t>OK</t>
        </is>
      </c>
      <c r="K74" s="7" t="inlineStr">
        <is>
          <t>2026-10-14</t>
        </is>
      </c>
      <c r="L74" s="7" t="inlineStr">
        <is>
          <t>Suite automatizada</t>
        </is>
      </c>
      <c r="M74" s="7" t="inlineStr"/>
    </row>
    <row r="75">
      <c r="A75" s="7" t="inlineStr">
        <is>
          <t>TC-74</t>
        </is>
      </c>
      <c r="B75" s="7" t="inlineStr">
        <is>
          <t>Sprint 3</t>
        </is>
      </c>
      <c r="C75" s="7" t="inlineStr">
        <is>
          <t>QA calendario de visitas (SCRUM-215)</t>
        </is>
      </c>
      <c r="D75" s="7" t="inlineStr">
        <is>
          <t>Escucha no puede escribir</t>
        </is>
      </c>
      <c r="E75" s="7" t="inlineStr">
        <is>
          <t>Escucha no puede escribir</t>
        </is>
      </c>
      <c r="F75" s="7" t="inlineStr">
        <is>
          <t>API levantada con WebApplicationFactory; sesión con el rol indicado en los pasos.</t>
        </is>
      </c>
      <c r="G75" s="7" t="inlineStr">
        <is>
          <t>SCRUM-19</t>
        </is>
      </c>
      <c r="H75" s="7" t="inlineStr">
        <is>
          <t>1. POST / PUT con Esc  →  403</t>
        </is>
      </c>
      <c r="I75" s="7" t="inlineStr">
        <is>
          <t>Post_WithListenerRole_Returns403, Put_WithListenerRole_Returns403</t>
        </is>
      </c>
      <c r="J75" s="7" t="inlineStr">
        <is>
          <t>OK</t>
        </is>
      </c>
      <c r="K75" s="7" t="inlineStr">
        <is>
          <t>2026-10-14</t>
        </is>
      </c>
      <c r="L75" s="7" t="inlineStr">
        <is>
          <t>Suite automatizada</t>
        </is>
      </c>
      <c r="M75" s="7" t="inlineStr"/>
    </row>
    <row r="76">
      <c r="A76" s="7" t="inlineStr">
        <is>
          <t>TC-75</t>
        </is>
      </c>
      <c r="B76" s="7" t="inlineStr">
        <is>
          <t>Sprint 3</t>
        </is>
      </c>
      <c r="C76" s="7" t="inlineStr">
        <is>
          <t>QA calendario de visitas (SCRUM-215)</t>
        </is>
      </c>
      <c r="D76" s="7" t="inlineStr">
        <is>
          <t>Validaciones de alta</t>
        </is>
      </c>
      <c r="E76" s="7" t="inlineStr">
        <is>
          <t>Validaciones de alta</t>
        </is>
      </c>
      <c r="F76" s="7" t="inlineStr">
        <is>
          <t>API levantada con WebApplicationFactory; sesión con el rol indicado en los pasos.</t>
        </is>
      </c>
      <c r="G76" s="7" t="inlineStr">
        <is>
          <t>SCRUM-19</t>
        </is>
      </c>
      <c r="H76" s="7" t="inlineStr">
        <is>
          <t>1. Campos faltantes, fecha pasada, duración 0  →  400 con mensajes en español</t>
        </is>
      </c>
      <c r="I76" s="7" t="inlineStr">
        <is>
          <t>Post_WithMissingFields_Returns400, Post_WithPastDate_Returns400, Post_WithZeroDuration_Returns400</t>
        </is>
      </c>
      <c r="J76" s="7" t="inlineStr">
        <is>
          <t>OK</t>
        </is>
      </c>
      <c r="K76" s="7" t="inlineStr">
        <is>
          <t>2026-10-14</t>
        </is>
      </c>
      <c r="L76" s="7" t="inlineStr">
        <is>
          <t>Suite automatizada</t>
        </is>
      </c>
      <c r="M76" s="7" t="inlineStr"/>
    </row>
    <row r="77">
      <c r="A77" s="7" t="inlineStr">
        <is>
          <t>TC-76</t>
        </is>
      </c>
      <c r="B77" s="7" t="inlineStr">
        <is>
          <t>Sprint 3</t>
        </is>
      </c>
      <c r="C77" s="7" t="inlineStr">
        <is>
          <t>QA calendario de visitas (SCRUM-215)</t>
        </is>
      </c>
      <c r="D77" s="7" t="inlineStr">
        <is>
          <t>Persona inválida</t>
        </is>
      </c>
      <c r="E77" s="7" t="inlineStr">
        <is>
          <t>Persona inválida</t>
        </is>
      </c>
      <c r="F77" s="7" t="inlineStr">
        <is>
          <t>API levantada con WebApplicationFactory; sesión con el rol indicado en los pasos.</t>
        </is>
      </c>
      <c r="G77" s="7" t="inlineStr">
        <is>
          <t>SCRUM-19</t>
        </is>
      </c>
      <c r="H77" s="7" t="inlineStr">
        <is>
          <t>1. Persona inexistente / ambulatoria / sin estadía abierta  →  400</t>
        </is>
      </c>
      <c r="I77" s="7" t="inlineStr">
        <is>
          <t>Post_WithUnknownPerson_Returns400, Post_WithAmbulatoryPerson_Returns400, Post_WithoutOpenStay_Returns400</t>
        </is>
      </c>
      <c r="J77" s="7" t="inlineStr">
        <is>
          <t>OK</t>
        </is>
      </c>
      <c r="K77" s="7" t="inlineStr">
        <is>
          <t>2026-10-14</t>
        </is>
      </c>
      <c r="L77" s="7" t="inlineStr">
        <is>
          <t>Suite automatizada</t>
        </is>
      </c>
      <c r="M77" s="7" t="inlineStr"/>
    </row>
    <row r="78">
      <c r="A78" s="7" t="inlineStr">
        <is>
          <t>TC-77</t>
        </is>
      </c>
      <c r="B78" s="7" t="inlineStr">
        <is>
          <t>Sprint 3</t>
        </is>
      </c>
      <c r="C78" s="7" t="inlineStr">
        <is>
          <t>QA calendario de visitas (SCRUM-215)</t>
        </is>
      </c>
      <c r="D78" s="7" t="inlineStr">
        <is>
          <t>Solapamiento de horario (advertencia)</t>
        </is>
      </c>
      <c r="E78" s="7" t="inlineStr">
        <is>
          <t>Solapamiento de horario (advertencia)</t>
        </is>
      </c>
      <c r="F78" s="7" t="inlineStr">
        <is>
          <t>API levantada con WebApplicationFactory; sesión con el rol indicado en los pasos.</t>
        </is>
      </c>
      <c r="G78" s="7" t="inlineStr">
        <is>
          <t>SCRUM-19</t>
        </is>
      </c>
      <c r="H78" s="7" t="inlineStr">
        <is>
          <t>1. Dos visitas pisadas, sin confirmar  →  409 con el aviso</t>
        </is>
      </c>
      <c r="I78" s="7" t="inlineStr">
        <is>
          <t>Post_OverlappingVisit_Returns409</t>
        </is>
      </c>
      <c r="J78" s="7" t="inlineStr">
        <is>
          <t>OK</t>
        </is>
      </c>
      <c r="K78" s="7" t="inlineStr">
        <is>
          <t>2026-10-14</t>
        </is>
      </c>
      <c r="L78" s="7" t="inlineStr">
        <is>
          <t>Suite automatizada</t>
        </is>
      </c>
      <c r="M78" s="7" t="inlineStr"/>
    </row>
    <row r="79">
      <c r="A79" s="7" t="inlineStr">
        <is>
          <t>TC-78</t>
        </is>
      </c>
      <c r="B79" s="7" t="inlineStr">
        <is>
          <t>Sprint 3</t>
        </is>
      </c>
      <c r="C79" s="7" t="inlineStr">
        <is>
          <t>QA calendario de visitas (SCRUM-215)</t>
        </is>
      </c>
      <c r="D79" s="7" t="inlineStr">
        <is>
          <t>Editar visita Pendiente</t>
        </is>
      </c>
      <c r="E79" s="7" t="inlineStr">
        <is>
          <t>Editar visita Pendiente</t>
        </is>
      </c>
      <c r="F79" s="7" t="inlineStr">
        <is>
          <t>API levantada con WebApplicationFactory; sesión con el rol indicado en los pasos.</t>
        </is>
      </c>
      <c r="G79" s="7" t="inlineStr">
        <is>
          <t>SCRUM-19</t>
        </is>
      </c>
      <c r="H79" s="7" t="inlineStr">
        <is>
          <t>1. PUT /api/casona-visits/{id}  →  204</t>
        </is>
      </c>
      <c r="I79" s="7" t="inlineStr">
        <is>
          <t>Put_OnPendingVisit_Returns204</t>
        </is>
      </c>
      <c r="J79" s="7" t="inlineStr">
        <is>
          <t>OK</t>
        </is>
      </c>
      <c r="K79" s="7" t="inlineStr">
        <is>
          <t>2026-10-14</t>
        </is>
      </c>
      <c r="L79" s="7" t="inlineStr">
        <is>
          <t>Suite automatizada</t>
        </is>
      </c>
      <c r="M79" s="7" t="inlineStr"/>
    </row>
    <row r="80">
      <c r="A80" s="7" t="inlineStr">
        <is>
          <t>TC-79</t>
        </is>
      </c>
      <c r="B80" s="7" t="inlineStr">
        <is>
          <t>Sprint 3</t>
        </is>
      </c>
      <c r="C80" s="7" t="inlineStr">
        <is>
          <t>QA calendario de visitas (SCRUM-215)</t>
        </is>
      </c>
      <c r="D80" s="7" t="inlineStr">
        <is>
          <t>Editar visita cerrada</t>
        </is>
      </c>
      <c r="E80" s="7" t="inlineStr">
        <is>
          <t>Editar visita cerrada</t>
        </is>
      </c>
      <c r="F80" s="7" t="inlineStr">
        <is>
          <t>API levantada con WebApplicationFactory; sesión con el rol indicado en los pasos.</t>
        </is>
      </c>
      <c r="G80" s="7" t="inlineStr">
        <is>
          <t>SCRUM-19</t>
        </is>
      </c>
      <c r="H80" s="7" t="inlineStr">
        <is>
          <t>1. PUT sobre Realizada / Cancelada  →  409</t>
        </is>
      </c>
      <c r="I80" s="7" t="inlineStr">
        <is>
          <t>Put_OnCompletedVisit_Returns409</t>
        </is>
      </c>
      <c r="J80" s="7" t="inlineStr">
        <is>
          <t>OK</t>
        </is>
      </c>
      <c r="K80" s="7" t="inlineStr">
        <is>
          <t>2026-10-14</t>
        </is>
      </c>
      <c r="L80" s="7" t="inlineStr">
        <is>
          <t>Suite automatizada</t>
        </is>
      </c>
      <c r="M80" s="7" t="inlineStr"/>
    </row>
    <row r="81">
      <c r="A81" s="7" t="inlineStr">
        <is>
          <t>TC-80</t>
        </is>
      </c>
      <c r="B81" s="7" t="inlineStr">
        <is>
          <t>Sprint 3</t>
        </is>
      </c>
      <c r="C81" s="7" t="inlineStr">
        <is>
          <t>QA calendario de visitas (SCRUM-215)</t>
        </is>
      </c>
      <c r="D81" s="7" t="inlineStr">
        <is>
          <t>Cancelar sin motivo</t>
        </is>
      </c>
      <c r="E81" s="7" t="inlineStr">
        <is>
          <t>Cancelar sin motivo</t>
        </is>
      </c>
      <c r="F81" s="7" t="inlineStr">
        <is>
          <t>API levantada con WebApplicationFactory; sesión con el rol indicado en los pasos.</t>
        </is>
      </c>
      <c r="G81" s="7" t="inlineStr">
        <is>
          <t>SCRUM-19</t>
        </is>
      </c>
      <c r="H81" s="7" t="inlineStr">
        <is>
          <t>1. PUT estado Cancelada sin motivo  →  204 (el motivo es opcional, decisión del 2026-10-09)</t>
        </is>
      </c>
      <c r="I81" s="7" t="inlineStr">
        <is>
          <t>Put_CancelledWithoutReason_Returns204</t>
        </is>
      </c>
      <c r="J81" s="7" t="inlineStr">
        <is>
          <t>OK</t>
        </is>
      </c>
      <c r="K81" s="7" t="inlineStr">
        <is>
          <t>2026-10-14</t>
        </is>
      </c>
      <c r="L81" s="7" t="inlineStr">
        <is>
          <t>Suite automatizada</t>
        </is>
      </c>
      <c r="M81" s="7" t="inlineStr"/>
    </row>
    <row r="82">
      <c r="A82" s="7" t="inlineStr">
        <is>
          <t>TC-81</t>
        </is>
      </c>
      <c r="B82" s="7" t="inlineStr">
        <is>
          <t>Sprint 3</t>
        </is>
      </c>
      <c r="C82" s="7" t="inlineStr">
        <is>
          <t>QA calendario de visitas (SCRUM-215)</t>
        </is>
      </c>
      <c r="D82" s="7" t="inlineStr">
        <is>
          <t>PUT inválidos</t>
        </is>
      </c>
      <c r="E82" s="7" t="inlineStr">
        <is>
          <t>PUT inválidos</t>
        </is>
      </c>
      <c r="F82" s="7" t="inlineStr">
        <is>
          <t>API levantada con WebApplicationFactory; sesión con el rol indicado en los pasos.</t>
        </is>
      </c>
      <c r="G82" s="7" t="inlineStr">
        <is>
          <t>SCRUM-19</t>
        </is>
      </c>
      <c r="H82" s="7" t="inlineStr">
        <is>
          <t>1. Estado inválido, mover al pasado, id inexistente  →  400 / 400 / 404</t>
        </is>
      </c>
      <c r="I82" s="7" t="inlineStr">
        <is>
          <t>Put_WithInvalidStatusValue_Returns400, Put_MovingVisitToPast_Returns400, Put_UnknownVisit_Returns404</t>
        </is>
      </c>
      <c r="J82" s="7" t="inlineStr">
        <is>
          <t>OK</t>
        </is>
      </c>
      <c r="K82" s="7" t="inlineStr">
        <is>
          <t>2026-10-14</t>
        </is>
      </c>
      <c r="L82" s="7" t="inlineStr">
        <is>
          <t>Suite automatizada</t>
        </is>
      </c>
      <c r="M82" s="7" t="inlineStr"/>
    </row>
    <row r="83">
      <c r="A83" s="7" t="inlineStr">
        <is>
          <t>TC-82</t>
        </is>
      </c>
      <c r="B83" s="7" t="inlineStr">
        <is>
          <t>Sprint 3</t>
        </is>
      </c>
      <c r="C83" s="7" t="inlineStr">
        <is>
          <t>QA calendario de visitas (SCRUM-215)</t>
        </is>
      </c>
      <c r="D83" s="7" t="inlineStr">
        <is>
          <t>Consulta por rango</t>
        </is>
      </c>
      <c r="E83" s="7" t="inlineStr">
        <is>
          <t>Consulta por rango</t>
        </is>
      </c>
      <c r="F83" s="7" t="inlineStr">
        <is>
          <t>API levantada con WebApplicationFactory; sesión con el rol indicado en los pasos.</t>
        </is>
      </c>
      <c r="G83" s="7" t="inlineStr">
        <is>
          <t>SCRUM-19</t>
        </is>
      </c>
      <c r="H83" s="7" t="inlineStr">
        <is>
          <t>1. GET /api/casona-visits?from&amp;to con los 4 roles  →  200 paginado, solo visitas del rango</t>
        </is>
      </c>
      <c r="I83" s="7" t="inlineStr">
        <is>
          <t>Get_ReturnsOnlyVisitsInRangeWithPagedShape, Get_WithEachAuthorizedRole_Returns200</t>
        </is>
      </c>
      <c r="J83" s="7" t="inlineStr">
        <is>
          <t>OK</t>
        </is>
      </c>
      <c r="K83" s="7" t="inlineStr">
        <is>
          <t>2026-10-14</t>
        </is>
      </c>
      <c r="L83" s="7" t="inlineStr">
        <is>
          <t>Suite automatizada</t>
        </is>
      </c>
      <c r="M83" s="7" t="inlineStr"/>
    </row>
    <row r="84">
      <c r="A84" s="7" t="inlineStr">
        <is>
          <t>TC-83</t>
        </is>
      </c>
      <c r="B84" s="7" t="inlineStr">
        <is>
          <t>Sprint 3</t>
        </is>
      </c>
      <c r="C84" s="7" t="inlineStr">
        <is>
          <t>QA calendario de visitas (SCRUM-215)</t>
        </is>
      </c>
      <c r="D84" s="7" t="inlineStr">
        <is>
          <t>Sin sesión / rango inválido</t>
        </is>
      </c>
      <c r="E84" s="7" t="inlineStr">
        <is>
          <t>Sin sesión / rango inválido</t>
        </is>
      </c>
      <c r="F84" s="7" t="inlineStr">
        <is>
          <t>API levantada con WebApplicationFactory; sesión con el rol indicado en los pasos.</t>
        </is>
      </c>
      <c r="G84" s="7" t="inlineStr">
        <is>
          <t>SCRUM-19</t>
        </is>
      </c>
      <c r="H84" s="7" t="inlineStr">
        <is>
          <t>1. Sin token; from&gt;to  →  401 / 400</t>
        </is>
      </c>
      <c r="I84" s="7" t="inlineStr">
        <is>
          <t>Get_WithoutToken_Returns401, Get_WithFromAfterTo_Returns400</t>
        </is>
      </c>
      <c r="J84" s="7" t="inlineStr">
        <is>
          <t>OK</t>
        </is>
      </c>
      <c r="K84" s="7" t="inlineStr">
        <is>
          <t>2026-10-14</t>
        </is>
      </c>
      <c r="L84" s="7" t="inlineStr">
        <is>
          <t>Suite automatizada</t>
        </is>
      </c>
      <c r="M84" s="7" t="inlineStr"/>
    </row>
    <row r="85">
      <c r="A85" s="7" t="inlineStr">
        <is>
          <t>TC-84</t>
        </is>
      </c>
      <c r="B85" s="7" t="inlineStr">
        <is>
          <t>Sprint 3</t>
        </is>
      </c>
      <c r="C85" s="7" t="inlineStr">
        <is>
          <t>QA de UI — frontend integrado (2026-10-08)</t>
        </is>
      </c>
      <c r="D85" s="7" t="inlineStr">
        <is>
          <t>Calendario general: ver semana con actividades precargadas (desayuno, almuerzo, merendero)</t>
        </is>
      </c>
      <c r="E85" s="7" t="inlineStr">
        <is>
          <t>Calendario general: ver semana con actividades precargadas (desayuno, almuerzo, merendero)</t>
        </is>
      </c>
      <c r="F85" s="7" t="inlineStr">
        <is>
          <t>Stack local levantado (docker compose en backend/); usuarios de prueba *@test.com.</t>
        </is>
      </c>
      <c r="G85" s="7" t="inlineStr">
        <is>
          <t>SCRUM-74</t>
        </is>
      </c>
      <c r="H85" s="7" t="inlineStr">
        <is>
          <t>1. Calendario general: ver semana con actividades precargadas (desayuno, almuerzo, merendero)  →  El flujo se completa sin errores de API</t>
        </is>
      </c>
      <c r="I85" s="7" t="inlineStr">
        <is>
          <t>docs/qa/e2e/sprint3-ui-flows.mjs</t>
        </is>
      </c>
      <c r="J85" s="7" t="inlineStr">
        <is>
          <t>OK</t>
        </is>
      </c>
      <c r="K85" s="7" t="inlineStr">
        <is>
          <t>2026-10-08</t>
        </is>
      </c>
      <c r="L85" s="7" t="inlineStr">
        <is>
          <t>Mateo Pavoni</t>
        </is>
      </c>
      <c r="M85" s="7" t="inlineStr"/>
    </row>
    <row r="86">
      <c r="A86" s="7" t="inlineStr">
        <is>
          <t>TC-85</t>
        </is>
      </c>
      <c r="B86" s="7" t="inlineStr">
        <is>
          <t>Sprint 3</t>
        </is>
      </c>
      <c r="C86" s="7" t="inlineStr">
        <is>
          <t>QA de UI — frontend integrado (2026-10-08)</t>
        </is>
      </c>
      <c r="D86" s="7" t="inlineStr">
        <is>
          <t>Crear evento general desde la UI (Referente)</t>
        </is>
      </c>
      <c r="E86" s="7" t="inlineStr">
        <is>
          <t>Crear evento general desde la UI (Referente)</t>
        </is>
      </c>
      <c r="F86" s="7" t="inlineStr">
        <is>
          <t>Stack local levantado (docker compose en backend/); usuarios de prueba *@test.com.</t>
        </is>
      </c>
      <c r="G86" s="7" t="inlineStr">
        <is>
          <t>SCRUM-74</t>
        </is>
      </c>
      <c r="H86" s="7" t="inlineStr">
        <is>
          <t>1. Crear evento general desde la UI (Referente)  →  El flujo se completa sin errores de API</t>
        </is>
      </c>
      <c r="I86" s="7" t="inlineStr">
        <is>
          <t>docs/qa/e2e/sprint3-ui-flows.mjs</t>
        </is>
      </c>
      <c r="J86" s="7" t="inlineStr">
        <is>
          <t>OK</t>
        </is>
      </c>
      <c r="K86" s="7" t="inlineStr">
        <is>
          <t>2026-10-08</t>
        </is>
      </c>
      <c r="L86" s="7" t="inlineStr">
        <is>
          <t>Mateo Pavoni</t>
        </is>
      </c>
      <c r="M86" s="7" t="inlineStr"/>
    </row>
    <row r="87">
      <c r="A87" s="7" t="inlineStr">
        <is>
          <t>TC-86</t>
        </is>
      </c>
      <c r="B87" s="7" t="inlineStr">
        <is>
          <t>Sprint 3</t>
        </is>
      </c>
      <c r="C87" s="7" t="inlineStr">
        <is>
          <t>QA de UI — frontend integrado (2026-10-08)</t>
        </is>
      </c>
      <c r="D87" s="7" t="inlineStr">
        <is>
          <t>Crear evento semanal recurrente</t>
        </is>
      </c>
      <c r="E87" s="7" t="inlineStr">
        <is>
          <t>Crear evento semanal recurrente</t>
        </is>
      </c>
      <c r="F87" s="7" t="inlineStr">
        <is>
          <t>Stack local levantado (docker compose en backend/); usuarios de prueba *@test.com.</t>
        </is>
      </c>
      <c r="G87" s="7" t="inlineStr">
        <is>
          <t>SCRUM-74</t>
        </is>
      </c>
      <c r="H87" s="7" t="inlineStr">
        <is>
          <t>1. Crear evento semanal recurrente  →  El flujo se completa sin errores de API</t>
        </is>
      </c>
      <c r="I87" s="7" t="inlineStr">
        <is>
          <t>docs/qa/e2e/sprint3-ui-flows.mjs</t>
        </is>
      </c>
      <c r="J87" s="7" t="inlineStr">
        <is>
          <t>OK</t>
        </is>
      </c>
      <c r="K87" s="7" t="inlineStr">
        <is>
          <t>2026-10-08</t>
        </is>
      </c>
      <c r="L87" s="7" t="inlineStr">
        <is>
          <t>Mateo Pavoni</t>
        </is>
      </c>
      <c r="M87" s="7" t="inlineStr"/>
    </row>
    <row r="88">
      <c r="A88" s="7" t="inlineStr">
        <is>
          <t>TC-87</t>
        </is>
      </c>
      <c r="B88" s="7" t="inlineStr">
        <is>
          <t>Sprint 3</t>
        </is>
      </c>
      <c r="C88" s="7" t="inlineStr">
        <is>
          <t>QA de UI — frontend integrado (2026-10-08)</t>
        </is>
      </c>
      <c r="D88" s="7" t="inlineStr">
        <is>
          <t>Crear evento personal en "Mi calendario"</t>
        </is>
      </c>
      <c r="E88" s="7" t="inlineStr">
        <is>
          <t>Crear evento personal en "Mi calendario"</t>
        </is>
      </c>
      <c r="F88" s="7" t="inlineStr">
        <is>
          <t>Stack local levantado (docker compose en backend/); usuarios de prueba *@test.com.</t>
        </is>
      </c>
      <c r="G88" s="7" t="inlineStr">
        <is>
          <t>SCRUM-74</t>
        </is>
      </c>
      <c r="H88" s="7" t="inlineStr">
        <is>
          <t>1. Crear evento personal en "Mi calendario"  →  El flujo se completa sin errores de API</t>
        </is>
      </c>
      <c r="I88" s="7" t="inlineStr">
        <is>
          <t>docs/qa/e2e/sprint3-ui-flows.mjs</t>
        </is>
      </c>
      <c r="J88" s="7" t="inlineStr">
        <is>
          <t>OK</t>
        </is>
      </c>
      <c r="K88" s="7" t="inlineStr">
        <is>
          <t>2026-10-08</t>
        </is>
      </c>
      <c r="L88" s="7" t="inlineStr">
        <is>
          <t>Mateo Pavoni</t>
        </is>
      </c>
      <c r="M88" s="7" t="inlineStr"/>
    </row>
    <row r="89">
      <c r="A89" s="7" t="inlineStr">
        <is>
          <t>TC-88</t>
        </is>
      </c>
      <c r="B89" s="7" t="inlineStr">
        <is>
          <t>Sprint 3</t>
        </is>
      </c>
      <c r="C89" s="7" t="inlineStr">
        <is>
          <t>QA de UI — frontend integrado (2026-10-08)</t>
        </is>
      </c>
      <c r="D89" s="7" t="inlineStr">
        <is>
          <t>El evento personal no aparece en "General"; "Combinado" muestra ambos</t>
        </is>
      </c>
      <c r="E89" s="7" t="inlineStr">
        <is>
          <t>El evento personal no aparece en "General"; "Combinado" muestra ambos</t>
        </is>
      </c>
      <c r="F89" s="7" t="inlineStr">
        <is>
          <t>Stack local levantado (docker compose en backend/); usuarios de prueba *@test.com.</t>
        </is>
      </c>
      <c r="G89" s="7" t="inlineStr">
        <is>
          <t>SCRUM-74</t>
        </is>
      </c>
      <c r="H89" s="7" t="inlineStr">
        <is>
          <t>1. El evento personal no aparece en "General"; "Combinado" muestra ambos  →  El flujo se completa sin errores de API</t>
        </is>
      </c>
      <c r="I89" s="7" t="inlineStr">
        <is>
          <t>docs/qa/e2e/sprint3-ui-flows.mjs</t>
        </is>
      </c>
      <c r="J89" s="7" t="inlineStr">
        <is>
          <t>OK</t>
        </is>
      </c>
      <c r="K89" s="7" t="inlineStr">
        <is>
          <t>2026-10-08</t>
        </is>
      </c>
      <c r="L89" s="7" t="inlineStr">
        <is>
          <t>Mateo Pavoni</t>
        </is>
      </c>
      <c r="M89" s="7" t="inlineStr"/>
    </row>
    <row r="90">
      <c r="A90" s="7" t="inlineStr">
        <is>
          <t>TC-89</t>
        </is>
      </c>
      <c r="B90" s="7" t="inlineStr">
        <is>
          <t>Sprint 3</t>
        </is>
      </c>
      <c r="C90" s="7" t="inlineStr">
        <is>
          <t>QA de UI — frontend integrado (2026-10-08)</t>
        </is>
      </c>
      <c r="D90" s="7" t="inlineStr">
        <is>
          <t>Detalle de evento con autor y descripción</t>
        </is>
      </c>
      <c r="E90" s="7" t="inlineStr">
        <is>
          <t>Detalle de evento con autor y descripción</t>
        </is>
      </c>
      <c r="F90" s="7" t="inlineStr">
        <is>
          <t>Stack local levantado (docker compose en backend/); usuarios de prueba *@test.com.</t>
        </is>
      </c>
      <c r="G90" s="7" t="inlineStr">
        <is>
          <t>SCRUM-74</t>
        </is>
      </c>
      <c r="H90" s="7" t="inlineStr">
        <is>
          <t>1. Detalle de evento con autor y descripción  →  El flujo se completa sin errores de API</t>
        </is>
      </c>
      <c r="I90" s="7" t="inlineStr">
        <is>
          <t>docs/qa/e2e/sprint3-ui-flows.mjs</t>
        </is>
      </c>
      <c r="J90" s="7" t="inlineStr">
        <is>
          <t>OK</t>
        </is>
      </c>
      <c r="K90" s="7" t="inlineStr">
        <is>
          <t>2026-10-08</t>
        </is>
      </c>
      <c r="L90" s="7" t="inlineStr">
        <is>
          <t>Mateo Pavoni</t>
        </is>
      </c>
      <c r="M90" s="7" t="inlineStr"/>
    </row>
    <row r="91">
      <c r="A91" s="7" t="inlineStr">
        <is>
          <t>TC-90</t>
        </is>
      </c>
      <c r="B91" s="7" t="inlineStr">
        <is>
          <t>Sprint 3</t>
        </is>
      </c>
      <c r="C91" s="7" t="inlineStr">
        <is>
          <t>QA de UI — frontend integrado (2026-10-08)</t>
        </is>
      </c>
      <c r="D91" s="7" t="inlineStr">
        <is>
          <t>Crear colaborador desde la UI</t>
        </is>
      </c>
      <c r="E91" s="7" t="inlineStr">
        <is>
          <t>Crear colaborador desde la UI</t>
        </is>
      </c>
      <c r="F91" s="7" t="inlineStr">
        <is>
          <t>Stack local levantado (docker compose en backend/); usuarios de prueba *@test.com.</t>
        </is>
      </c>
      <c r="G91" s="7" t="inlineStr">
        <is>
          <t>SCRUM-74</t>
        </is>
      </c>
      <c r="H91" s="7" t="inlineStr">
        <is>
          <t>1. Crear colaborador desde la UI  →  El flujo se completa sin errores de API</t>
        </is>
      </c>
      <c r="I91" s="7" t="inlineStr">
        <is>
          <t>docs/qa/e2e/sprint3-ui-flows.mjs</t>
        </is>
      </c>
      <c r="J91" s="7" t="inlineStr">
        <is>
          <t>OK</t>
        </is>
      </c>
      <c r="K91" s="7" t="inlineStr">
        <is>
          <t>2026-10-08</t>
        </is>
      </c>
      <c r="L91" s="7" t="inlineStr">
        <is>
          <t>Mateo Pavoni</t>
        </is>
      </c>
      <c r="M91" s="7" t="inlineStr"/>
    </row>
    <row r="92">
      <c r="A92" s="7" t="inlineStr">
        <is>
          <t>TC-91</t>
        </is>
      </c>
      <c r="B92" s="7" t="inlineStr">
        <is>
          <t>Sprint 3</t>
        </is>
      </c>
      <c r="C92" s="7" t="inlineStr">
        <is>
          <t>QA de UI — frontend integrado (2026-10-08)</t>
        </is>
      </c>
      <c r="D92" s="7" t="inlineStr">
        <is>
          <t>DNI duplicado: la UI informa "Ya existe un colaborador con ese DNI."</t>
        </is>
      </c>
      <c r="E92" s="7" t="inlineStr">
        <is>
          <t>DNI duplicado: la UI informa "Ya existe un colaborador con ese DNI."</t>
        </is>
      </c>
      <c r="F92" s="7" t="inlineStr">
        <is>
          <t>Stack local levantado (docker compose en backend/); usuarios de prueba *@test.com.</t>
        </is>
      </c>
      <c r="G92" s="7" t="inlineStr">
        <is>
          <t>SCRUM-74</t>
        </is>
      </c>
      <c r="H92" s="7" t="inlineStr">
        <is>
          <t>1. DNI duplicado: la UI informa "Ya existe un colaborador con ese DNI."  →  El flujo se completa sin errores de API</t>
        </is>
      </c>
      <c r="I92" s="7" t="inlineStr">
        <is>
          <t>docs/qa/e2e/sprint3-ui-flows.mjs</t>
        </is>
      </c>
      <c r="J92" s="7" t="inlineStr">
        <is>
          <t>OK</t>
        </is>
      </c>
      <c r="K92" s="7" t="inlineStr">
        <is>
          <t>2026-10-08</t>
        </is>
      </c>
      <c r="L92" s="7" t="inlineStr">
        <is>
          <t>Mateo Pavoni</t>
        </is>
      </c>
      <c r="M92" s="7" t="inlineStr"/>
    </row>
    <row r="93">
      <c r="A93" s="7" t="inlineStr">
        <is>
          <t>TC-92</t>
        </is>
      </c>
      <c r="B93" s="7" t="inlineStr">
        <is>
          <t>Sprint 3</t>
        </is>
      </c>
      <c r="C93" s="7" t="inlineStr">
        <is>
          <t>QA de UI — frontend integrado (2026-10-08)</t>
        </is>
      </c>
      <c r="D93" s="7" t="inlineStr">
        <is>
          <t>Búsqueda de colaboradores por área</t>
        </is>
      </c>
      <c r="E93" s="7" t="inlineStr">
        <is>
          <t>Búsqueda de colaboradores por área</t>
        </is>
      </c>
      <c r="F93" s="7" t="inlineStr">
        <is>
          <t>Stack local levantado (docker compose en backend/); usuarios de prueba *@test.com.</t>
        </is>
      </c>
      <c r="G93" s="7" t="inlineStr">
        <is>
          <t>SCRUM-74</t>
        </is>
      </c>
      <c r="H93" s="7" t="inlineStr">
        <is>
          <t>1. Búsqueda de colaboradores por área  →  El flujo se completa sin errores de API</t>
        </is>
      </c>
      <c r="I93" s="7" t="inlineStr">
        <is>
          <t>docs/qa/e2e/sprint3-ui-flows.mjs</t>
        </is>
      </c>
      <c r="J93" s="7" t="inlineStr">
        <is>
          <t>OK</t>
        </is>
      </c>
      <c r="K93" s="7" t="inlineStr">
        <is>
          <t>2026-10-08</t>
        </is>
      </c>
      <c r="L93" s="7" t="inlineStr">
        <is>
          <t>Mateo Pavoni</t>
        </is>
      </c>
      <c r="M93" s="7" t="inlineStr"/>
    </row>
    <row r="94">
      <c r="A94" s="7" t="inlineStr">
        <is>
          <t>TC-93</t>
        </is>
      </c>
      <c r="B94" s="7" t="inlineStr">
        <is>
          <t>Sprint 3</t>
        </is>
      </c>
      <c r="C94" s="7" t="inlineStr">
        <is>
          <t>QA de UI — frontend integrado (2026-10-08)</t>
        </is>
      </c>
      <c r="D94" s="7" t="inlineStr">
        <is>
          <t>Dar de baja un colaborador</t>
        </is>
      </c>
      <c r="E94" s="7" t="inlineStr">
        <is>
          <t>Dar de baja un colaborador</t>
        </is>
      </c>
      <c r="F94" s="7" t="inlineStr">
        <is>
          <t>Stack local levantado (docker compose en backend/); usuarios de prueba *@test.com.</t>
        </is>
      </c>
      <c r="G94" s="7" t="inlineStr">
        <is>
          <t>SCRUM-74</t>
        </is>
      </c>
      <c r="H94" s="7" t="inlineStr">
        <is>
          <t>1. Dar de baja un colaborador  →  El flujo se completa sin errores de API</t>
        </is>
      </c>
      <c r="I94" s="7" t="inlineStr">
        <is>
          <t>docs/qa/e2e/sprint3-ui-flows.mjs</t>
        </is>
      </c>
      <c r="J94" s="7" t="inlineStr">
        <is>
          <t>OK</t>
        </is>
      </c>
      <c r="K94" s="7" t="inlineStr">
        <is>
          <t>2026-10-14</t>
        </is>
      </c>
      <c r="L94" s="7" t="inlineStr">
        <is>
          <t>Mateo Pavoni</t>
        </is>
      </c>
      <c r="M94" s="7" t="inlineStr">
        <is>
          <t>OK (re-ejecutado 2026-10-09; el 2026-10-08 fallaba con 404 por falta de SCRUM-200)</t>
        </is>
      </c>
    </row>
    <row r="95">
      <c r="A95" s="7" t="inlineStr">
        <is>
          <t>TC-94</t>
        </is>
      </c>
      <c r="B95" s="7" t="inlineStr">
        <is>
          <t>Sprint 3</t>
        </is>
      </c>
      <c r="C95" s="7" t="inlineStr">
        <is>
          <t>QA de UI — frontend integrado (2026-10-08)</t>
        </is>
      </c>
      <c r="D95" s="7" t="inlineStr">
        <is>
          <t>Crear visita desde la UI (selector de residentes reales)</t>
        </is>
      </c>
      <c r="E95" s="7" t="inlineStr">
        <is>
          <t>Crear visita desde la UI (selector de residentes reales)</t>
        </is>
      </c>
      <c r="F95" s="7" t="inlineStr">
        <is>
          <t>Stack local levantado (docker compose en backend/); usuarios de prueba *@test.com.</t>
        </is>
      </c>
      <c r="G95" s="7" t="inlineStr">
        <is>
          <t>SCRUM-74</t>
        </is>
      </c>
      <c r="H95" s="7" t="inlineStr">
        <is>
          <t>1. Crear visita desde la UI (selector de residentes reales)  →  El flujo se completa sin errores de API</t>
        </is>
      </c>
      <c r="I95" s="7" t="inlineStr">
        <is>
          <t>docs/qa/e2e/sprint3-ui-flows.mjs</t>
        </is>
      </c>
      <c r="J95" s="7" t="inlineStr">
        <is>
          <t>OK</t>
        </is>
      </c>
      <c r="K95" s="7" t="inlineStr">
        <is>
          <t>2026-10-08</t>
        </is>
      </c>
      <c r="L95" s="7" t="inlineStr">
        <is>
          <t>Mateo Pavoni</t>
        </is>
      </c>
      <c r="M95" s="7" t="inlineStr"/>
    </row>
    <row r="96">
      <c r="A96" s="7" t="inlineStr">
        <is>
          <t>TC-95</t>
        </is>
      </c>
      <c r="B96" s="7" t="inlineStr">
        <is>
          <t>Sprint 3</t>
        </is>
      </c>
      <c r="C96" s="7" t="inlineStr">
        <is>
          <t>QA de UI — frontend integrado (2026-10-08)</t>
        </is>
      </c>
      <c r="D96" s="7" t="inlineStr">
        <is>
          <t>Visita solapada: la UI avisa y el backend responde 409</t>
        </is>
      </c>
      <c r="E96" s="7" t="inlineStr">
        <is>
          <t>Visita solapada: la UI avisa y el backend responde 409</t>
        </is>
      </c>
      <c r="F96" s="7" t="inlineStr">
        <is>
          <t>Stack local levantado (docker compose en backend/); usuarios de prueba *@test.com.</t>
        </is>
      </c>
      <c r="G96" s="7" t="inlineStr">
        <is>
          <t>SCRUM-74</t>
        </is>
      </c>
      <c r="H96" s="7" t="inlineStr">
        <is>
          <t>1. Visita solapada: la UI avisa y el backend responde 409  →  El flujo se completa sin errores de API</t>
        </is>
      </c>
      <c r="I96" s="7" t="inlineStr">
        <is>
          <t>docs/qa/e2e/sprint3-ui-flows.mjs</t>
        </is>
      </c>
      <c r="J96" s="7" t="inlineStr">
        <is>
          <t>OK</t>
        </is>
      </c>
      <c r="K96" s="7" t="inlineStr">
        <is>
          <t>2026-10-08</t>
        </is>
      </c>
      <c r="L96" s="7" t="inlineStr">
        <is>
          <t>Mateo Pavoni</t>
        </is>
      </c>
      <c r="M96" s="7" t="inlineStr"/>
    </row>
    <row r="97">
      <c r="A97" s="7" t="inlineStr">
        <is>
          <t>TC-96</t>
        </is>
      </c>
      <c r="B97" s="7" t="inlineStr">
        <is>
          <t>Sprint 3</t>
        </is>
      </c>
      <c r="C97" s="7" t="inlineStr">
        <is>
          <t>QA de UI — frontend integrado (2026-10-08)</t>
        </is>
      </c>
      <c r="D97" s="7" t="inlineStr">
        <is>
          <t>Marcar visita como realizada</t>
        </is>
      </c>
      <c r="E97" s="7" t="inlineStr">
        <is>
          <t>Marcar visita como realizada</t>
        </is>
      </c>
      <c r="F97" s="7" t="inlineStr">
        <is>
          <t>Stack local levantado (docker compose en backend/); usuarios de prueba *@test.com.</t>
        </is>
      </c>
      <c r="G97" s="7" t="inlineStr">
        <is>
          <t>SCRUM-74</t>
        </is>
      </c>
      <c r="H97" s="7" t="inlineStr">
        <is>
          <t>1. Marcar visita como realizada  →  El flujo se completa sin errores de API</t>
        </is>
      </c>
      <c r="I97" s="7" t="inlineStr">
        <is>
          <t>docs/qa/e2e/sprint3-ui-flows.mjs</t>
        </is>
      </c>
      <c r="J97" s="7" t="inlineStr">
        <is>
          <t>OK</t>
        </is>
      </c>
      <c r="K97" s="7" t="inlineStr">
        <is>
          <t>2026-10-08</t>
        </is>
      </c>
      <c r="L97" s="7" t="inlineStr">
        <is>
          <t>Mateo Pavoni</t>
        </is>
      </c>
      <c r="M97" s="7" t="inlineStr"/>
    </row>
    <row r="98">
      <c r="A98" s="7" t="inlineStr">
        <is>
          <t>TC-97</t>
        </is>
      </c>
      <c r="B98" s="7" t="inlineStr">
        <is>
          <t>Sprint 3</t>
        </is>
      </c>
      <c r="C98" s="7" t="inlineStr">
        <is>
          <t>QA de UI — frontend integrado (2026-10-08)</t>
        </is>
      </c>
      <c r="D98" s="7" t="inlineStr">
        <is>
          <t>Cancelar visita con motivo</t>
        </is>
      </c>
      <c r="E98" s="7" t="inlineStr">
        <is>
          <t>Cancelar visita con motivo</t>
        </is>
      </c>
      <c r="F98" s="7" t="inlineStr">
        <is>
          <t>Stack local levantado (docker compose en backend/); usuarios de prueba *@test.com.</t>
        </is>
      </c>
      <c r="G98" s="7" t="inlineStr">
        <is>
          <t>SCRUM-74</t>
        </is>
      </c>
      <c r="H98" s="7" t="inlineStr">
        <is>
          <t>1. Cancelar visita con motivo  →  El flujo se completa sin errores de API</t>
        </is>
      </c>
      <c r="I98" s="7" t="inlineStr">
        <is>
          <t>docs/qa/e2e/sprint3-ui-flows.mjs</t>
        </is>
      </c>
      <c r="J98" s="7" t="inlineStr">
        <is>
          <t>OK</t>
        </is>
      </c>
      <c r="K98" s="7" t="inlineStr">
        <is>
          <t>2026-10-08</t>
        </is>
      </c>
      <c r="L98" s="7" t="inlineStr">
        <is>
          <t>Mateo Pavoni</t>
        </is>
      </c>
      <c r="M98" s="7" t="inlineStr"/>
    </row>
    <row r="99">
      <c r="A99" s="7" t="inlineStr">
        <is>
          <t>TC-98</t>
        </is>
      </c>
      <c r="B99" s="7" t="inlineStr">
        <is>
          <t>Sprint 3</t>
        </is>
      </c>
      <c r="C99" s="7" t="inlineStr">
        <is>
          <t>QA de UI — frontend integrado (2026-10-08)</t>
        </is>
      </c>
      <c r="D99" s="7" t="inlineStr">
        <is>
          <t>Escucha: ve el calendario, sin "Nuevo evento", sin pestaña Casa de Convivencia, sin Colaboradores, `/colaboradores` bloqueado</t>
        </is>
      </c>
      <c r="E99" s="7" t="inlineStr">
        <is>
          <t>Escucha: ve el calendario, sin "Nuevo evento", sin pestaña Casa de Convivencia, sin Colaboradores, `/colaboradores` bloqueado</t>
        </is>
      </c>
      <c r="F99" s="7" t="inlineStr">
        <is>
          <t>Stack local levantado (docker compose en backend/); usuarios de prueba *@test.com.</t>
        </is>
      </c>
      <c r="G99" s="7" t="inlineStr">
        <is>
          <t>SCRUM-74</t>
        </is>
      </c>
      <c r="H99" s="7" t="inlineStr">
        <is>
          <t>1. Escucha: ve el calendario, sin "Nuevo evento", sin pestaña Casa de Convivencia, sin Colaboradores, `/colaboradores` bloqueado  →  El flujo se completa sin errores de API</t>
        </is>
      </c>
      <c r="I99" s="7" t="inlineStr">
        <is>
          <t>docs/qa/e2e/sprint3-ui-flows.mjs</t>
        </is>
      </c>
      <c r="J99" s="7" t="inlineStr">
        <is>
          <t>OK</t>
        </is>
      </c>
      <c r="K99" s="7" t="inlineStr">
        <is>
          <t>2026-10-08</t>
        </is>
      </c>
      <c r="L99" s="7" t="inlineStr">
        <is>
          <t>Mateo Pavoni</t>
        </is>
      </c>
      <c r="M99" s="7" t="inlineStr"/>
    </row>
    <row r="100">
      <c r="A100" s="7" t="inlineStr">
        <is>
          <t>TC-99</t>
        </is>
      </c>
      <c r="B100" s="7" t="inlineStr">
        <is>
          <t>Sprint 3</t>
        </is>
      </c>
      <c r="C100" s="7" t="inlineStr">
        <is>
          <t>QA de UI — frontend integrado (2026-10-08)</t>
        </is>
      </c>
      <c r="D100" s="7" t="inlineStr">
        <is>
          <t>Directora: ve el calendario sin crear eventos; puede crear visitas</t>
        </is>
      </c>
      <c r="E100" s="7" t="inlineStr">
        <is>
          <t>Directora: ve el calendario sin crear eventos; puede crear visitas</t>
        </is>
      </c>
      <c r="F100" s="7" t="inlineStr">
        <is>
          <t>Stack local levantado (docker compose en backend/); usuarios de prueba *@test.com.</t>
        </is>
      </c>
      <c r="G100" s="7" t="inlineStr">
        <is>
          <t>SCRUM-74</t>
        </is>
      </c>
      <c r="H100" s="7" t="inlineStr">
        <is>
          <t>1. Directora: ve el calendario sin crear eventos; puede crear visitas  →  El flujo se completa sin errores de API</t>
        </is>
      </c>
      <c r="I100" s="7" t="inlineStr">
        <is>
          <t>docs/qa/e2e/sprint3-ui-flows.mjs</t>
        </is>
      </c>
      <c r="J100" s="7" t="inlineStr">
        <is>
          <t>OK</t>
        </is>
      </c>
      <c r="K100" s="7" t="inlineStr">
        <is>
          <t>2026-10-08</t>
        </is>
      </c>
      <c r="L100" s="7" t="inlineStr">
        <is>
          <t>Mateo Pavoni</t>
        </is>
      </c>
      <c r="M100" s="7" t="inlineStr"/>
    </row>
    <row r="101">
      <c r="A101" s="7" t="inlineStr">
        <is>
          <t>TC-100</t>
        </is>
      </c>
      <c r="B101" s="7" t="inlineStr">
        <is>
          <t>Sprint 3</t>
        </is>
      </c>
      <c r="C101" s="7" t="inlineStr">
        <is>
          <t>Edición y eliminación de eventos generales (SCRUM-190)</t>
        </is>
      </c>
      <c r="D101" s="7" t="inlineStr">
        <is>
          <t>Editar evento (Referente)</t>
        </is>
      </c>
      <c r="E101" s="7" t="inlineStr">
        <is>
          <t>Editar evento (Referente)</t>
        </is>
      </c>
      <c r="F101" s="7" t="inlineStr">
        <is>
          <t>API levantada con WebApplicationFactory; sesión con el rol indicado en los pasos.</t>
        </is>
      </c>
      <c r="G101" s="7" t="inlineStr">
        <is>
          <t>SCRUM-16</t>
        </is>
      </c>
      <c r="H101" s="7" t="inlineStr">
        <is>
          <t>1. PUT /api/general-calendar-events/{id} con nuevos datos  →  204; el detalle refleja el cambio; AuditLog "Evento general modificado"</t>
        </is>
      </c>
      <c r="I101" s="7" t="inlineStr">
        <is>
          <t>Put_ByReferent_Returns204AndChangesDetail, UpdateAsync_WhenAuthorUpdates_SucceedsAndLogsAudit</t>
        </is>
      </c>
      <c r="J101" s="7" t="inlineStr">
        <is>
          <t>OK</t>
        </is>
      </c>
      <c r="K101" s="7" t="inlineStr">
        <is>
          <t>2026-10-14</t>
        </is>
      </c>
      <c r="L101" s="7" t="inlineStr">
        <is>
          <t>Suite automatizada</t>
        </is>
      </c>
      <c r="M101" s="7" t="inlineStr"/>
    </row>
    <row r="102">
      <c r="A102" s="7" t="inlineStr">
        <is>
          <t>TC-101</t>
        </is>
      </c>
      <c r="B102" s="7" t="inlineStr">
        <is>
          <t>Sprint 3</t>
        </is>
      </c>
      <c r="C102" s="7" t="inlineStr">
        <is>
          <t>Edición y eliminación de eventos generales (SCRUM-190)</t>
        </is>
      </c>
      <c r="D102" s="7" t="inlineStr">
        <is>
          <t>Referente edita evento ajeno</t>
        </is>
      </c>
      <c r="E102" s="7" t="inlineStr">
        <is>
          <t>Referente edita evento ajeno</t>
        </is>
      </c>
      <c r="F102" s="7" t="inlineStr">
        <is>
          <t>API levantada con WebApplicationFactory; sesión con el rol indicado en los pasos.</t>
        </is>
      </c>
      <c r="G102" s="7" t="inlineStr">
        <is>
          <t>SCRUM-16</t>
        </is>
      </c>
      <c r="H102" s="7" t="inlineStr">
        <is>
          <t>1. PUT de un Referente sobre evento de otro autor  →  204</t>
        </is>
      </c>
      <c r="I102" s="7" t="inlineStr">
        <is>
          <t>UpdateAsync_WhenReferentUpdatesOtherUsersEvent_SucceedsAndLogsAudit</t>
        </is>
      </c>
      <c r="J102" s="7" t="inlineStr">
        <is>
          <t>OK</t>
        </is>
      </c>
      <c r="K102" s="7" t="inlineStr">
        <is>
          <t>2026-10-14</t>
        </is>
      </c>
      <c r="L102" s="7" t="inlineStr">
        <is>
          <t>Suite automatizada</t>
        </is>
      </c>
      <c r="M102" s="7" t="inlineStr"/>
    </row>
    <row r="103">
      <c r="A103" s="7" t="inlineStr">
        <is>
          <t>TC-102</t>
        </is>
      </c>
      <c r="B103" s="7" t="inlineStr">
        <is>
          <t>Sprint 3</t>
        </is>
      </c>
      <c r="C103" s="7" t="inlineStr">
        <is>
          <t>Edición y eliminación de eventos generales (SCRUM-190)</t>
        </is>
      </c>
      <c r="D103" s="7" t="inlineStr">
        <is>
          <t>Sin permiso sobre evento ajeno</t>
        </is>
      </c>
      <c r="E103" s="7" t="inlineStr">
        <is>
          <t>Sin permiso sobre evento ajeno</t>
        </is>
      </c>
      <c r="F103" s="7" t="inlineStr">
        <is>
          <t>API levantada con WebApplicationFactory; sesión con el rol indicado en los pasos.</t>
        </is>
      </c>
      <c r="G103" s="7" t="inlineStr">
        <is>
          <t>SCRUM-16</t>
        </is>
      </c>
      <c r="H103" s="7" t="inlineStr">
        <is>
          <t>1. PUT / DELETE de un no-autor y no-Referente  →  403</t>
        </is>
      </c>
      <c r="I103" s="7" t="inlineStr">
        <is>
          <t>Put_ByNonAuthorNonReferent_Returns403, Delete_ByNonAuthorNonReferent_Returns403</t>
        </is>
      </c>
      <c r="J103" s="7" t="inlineStr">
        <is>
          <t>OK</t>
        </is>
      </c>
      <c r="K103" s="7" t="inlineStr">
        <is>
          <t>2026-10-14</t>
        </is>
      </c>
      <c r="L103" s="7" t="inlineStr">
        <is>
          <t>Suite automatizada</t>
        </is>
      </c>
      <c r="M103" s="7" t="inlineStr"/>
    </row>
    <row r="104">
      <c r="A104" s="7" t="inlineStr">
        <is>
          <t>TC-103</t>
        </is>
      </c>
      <c r="B104" s="7" t="inlineStr">
        <is>
          <t>Sprint 3</t>
        </is>
      </c>
      <c r="C104" s="7" t="inlineStr">
        <is>
          <t>Edición y eliminación de eventos generales (SCRUM-190)</t>
        </is>
      </c>
      <c r="D104" s="7" t="inlineStr">
        <is>
          <t>Título vacío al editar</t>
        </is>
      </c>
      <c r="E104" s="7" t="inlineStr">
        <is>
          <t>Título vacío al editar</t>
        </is>
      </c>
      <c r="F104" s="7" t="inlineStr">
        <is>
          <t>API levantada con WebApplicationFactory; sesión con el rol indicado en los pasos.</t>
        </is>
      </c>
      <c r="G104" s="7" t="inlineStr">
        <is>
          <t>SCRUM-16</t>
        </is>
      </c>
      <c r="H104" s="7" t="inlineStr">
        <is>
          <t>1. PUT con title vacío  →  400</t>
        </is>
      </c>
      <c r="I104" s="7" t="inlineStr">
        <is>
          <t>Put_WithEmptyTitle_Returns400</t>
        </is>
      </c>
      <c r="J104" s="7" t="inlineStr">
        <is>
          <t>OK</t>
        </is>
      </c>
      <c r="K104" s="7" t="inlineStr">
        <is>
          <t>2026-10-14</t>
        </is>
      </c>
      <c r="L104" s="7" t="inlineStr">
        <is>
          <t>Suite automatizada</t>
        </is>
      </c>
      <c r="M104" s="7" t="inlineStr"/>
    </row>
    <row r="105">
      <c r="A105" s="7" t="inlineStr">
        <is>
          <t>TC-104</t>
        </is>
      </c>
      <c r="B105" s="7" t="inlineStr">
        <is>
          <t>Sprint 3</t>
        </is>
      </c>
      <c r="C105" s="7" t="inlineStr">
        <is>
          <t>Edición y eliminación de eventos generales (SCRUM-190)</t>
        </is>
      </c>
      <c r="D105" s="7" t="inlineStr">
        <is>
          <t>Evento inexistente</t>
        </is>
      </c>
      <c r="E105" s="7" t="inlineStr">
        <is>
          <t>Evento inexistente</t>
        </is>
      </c>
      <c r="F105" s="7" t="inlineStr">
        <is>
          <t>API levantada con WebApplicationFactory; sesión con el rol indicado en los pasos.</t>
        </is>
      </c>
      <c r="G105" s="7" t="inlineStr">
        <is>
          <t>SCRUM-16</t>
        </is>
      </c>
      <c r="H105" s="7" t="inlineStr">
        <is>
          <t>1. PUT / DELETE con id desconocido  →  404</t>
        </is>
      </c>
      <c r="I105" s="7" t="inlineStr">
        <is>
          <t>Put_UnknownEvent_Returns404, Delete_UnknownEvent_Returns404</t>
        </is>
      </c>
      <c r="J105" s="7" t="inlineStr">
        <is>
          <t>OK</t>
        </is>
      </c>
      <c r="K105" s="7" t="inlineStr">
        <is>
          <t>2026-10-14</t>
        </is>
      </c>
      <c r="L105" s="7" t="inlineStr">
        <is>
          <t>Suite automatizada</t>
        </is>
      </c>
      <c r="M105" s="7" t="inlineStr"/>
    </row>
    <row r="106">
      <c r="A106" s="7" t="inlineStr">
        <is>
          <t>TC-105</t>
        </is>
      </c>
      <c r="B106" s="7" t="inlineStr">
        <is>
          <t>Sprint 3</t>
        </is>
      </c>
      <c r="C106" s="7" t="inlineStr">
        <is>
          <t>Edición y eliminación de eventos generales (SCRUM-190)</t>
        </is>
      </c>
      <c r="D106" s="7" t="inlineStr">
        <is>
          <t>Eliminar evento</t>
        </is>
      </c>
      <c r="E106" s="7" t="inlineStr">
        <is>
          <t>Eliminar evento</t>
        </is>
      </c>
      <c r="F106" s="7" t="inlineStr">
        <is>
          <t>API levantada con WebApplicationFactory; sesión con el rol indicado en los pasos.</t>
        </is>
      </c>
      <c r="G106" s="7" t="inlineStr">
        <is>
          <t>SCRUM-16</t>
        </is>
      </c>
      <c r="H106" s="7" t="inlineStr">
        <is>
          <t>1. DELETE /api/general-calendar-events/{id}  →  204; el detalle pasa a 404; AuditLog "Evento general eliminado"</t>
        </is>
      </c>
      <c r="I106" s="7" t="inlineStr">
        <is>
          <t>Delete_ByReferent_Returns204ThenDetailIs404, DeleteAsync_WhenAuthorDeletes_SucceedsRemovesEntityAndLogsAudit</t>
        </is>
      </c>
      <c r="J106" s="7" t="inlineStr">
        <is>
          <t>OK</t>
        </is>
      </c>
      <c r="K106" s="7" t="inlineStr">
        <is>
          <t>2026-10-14</t>
        </is>
      </c>
      <c r="L106" s="7" t="inlineStr">
        <is>
          <t>Suite automatizada</t>
        </is>
      </c>
      <c r="M106" s="7" t="inlineStr"/>
    </row>
    <row r="107">
      <c r="A107" s="7" t="inlineStr">
        <is>
          <t>TC-106</t>
        </is>
      </c>
      <c r="B107" s="7" t="inlineStr">
        <is>
          <t>Sprint 3</t>
        </is>
      </c>
      <c r="C107" s="7" t="inlineStr">
        <is>
          <t>Alta, edición, baja y conversión de eventos personales (SCRUM-195 y SCRUM-17)</t>
        </is>
      </c>
      <c r="D107" s="7" t="inlineStr">
        <is>
          <t>Alta de evento personal</t>
        </is>
      </c>
      <c r="E107" s="7" t="inlineStr">
        <is>
          <t>Alta de evento personal</t>
        </is>
      </c>
      <c r="F107" s="7" t="inlineStr">
        <is>
          <t>API levantada con WebApplicationFactory; sesión con el rol indicado en los pasos.</t>
        </is>
      </c>
      <c r="G107" s="7" t="inlineStr">
        <is>
          <t>SCRUM-17</t>
        </is>
      </c>
      <c r="H107" s="7" t="inlineStr">
        <is>
          <t>1. POST /api/personal-calendar-events con Ref  →  201; solo el dueño lo ve</t>
        </is>
      </c>
      <c r="I107" s="7" t="inlineStr">
        <is>
          <t>Post_WithReferent_Returns201AndOnlyOwnerSeesIt</t>
        </is>
      </c>
      <c r="J107" s="7" t="inlineStr">
        <is>
          <t>OK</t>
        </is>
      </c>
      <c r="K107" s="7" t="inlineStr">
        <is>
          <t>2026-10-14</t>
        </is>
      </c>
      <c r="L107" s="7" t="inlineStr">
        <is>
          <t>Suite automatizada</t>
        </is>
      </c>
      <c r="M107" s="7" t="inlineStr"/>
    </row>
    <row r="108">
      <c r="A108" s="7" t="inlineStr">
        <is>
          <t>TC-107</t>
        </is>
      </c>
      <c r="B108" s="7" t="inlineStr">
        <is>
          <t>Sprint 3</t>
        </is>
      </c>
      <c r="C108" s="7" t="inlineStr">
        <is>
          <t>Alta, edición, baja y conversión de eventos personales (SCRUM-195 y SCRUM-17)</t>
        </is>
      </c>
      <c r="D108" s="7" t="inlineStr">
        <is>
          <t>Alta solo Referente</t>
        </is>
      </c>
      <c r="E108" s="7" t="inlineStr">
        <is>
          <t>Alta solo Referente</t>
        </is>
      </c>
      <c r="F108" s="7" t="inlineStr">
        <is>
          <t>API levantada con WebApplicationFactory; sesión con el rol indicado en los pasos.</t>
        </is>
      </c>
      <c r="G108" s="7" t="inlineStr">
        <is>
          <t>SCRUM-17</t>
        </is>
      </c>
      <c r="H108" s="7" t="inlineStr">
        <is>
          <t>1. POST con Dir / Esc / Coo; sin token; sin título  →  403 / 401 / 400</t>
        </is>
      </c>
      <c r="I108" s="7" t="inlineStr">
        <is>
          <t>Post_WithNonReferentRoles_Returns403, Post_WithoutToken_Returns401, Post_WithMissingTitle_Returns400</t>
        </is>
      </c>
      <c r="J108" s="7" t="inlineStr">
        <is>
          <t>OK</t>
        </is>
      </c>
      <c r="K108" s="7" t="inlineStr">
        <is>
          <t>2026-10-14</t>
        </is>
      </c>
      <c r="L108" s="7" t="inlineStr">
        <is>
          <t>Suite automatizada</t>
        </is>
      </c>
      <c r="M108" s="7" t="inlineStr"/>
    </row>
    <row r="109">
      <c r="A109" s="7" t="inlineStr">
        <is>
          <t>TC-108</t>
        </is>
      </c>
      <c r="B109" s="7" t="inlineStr">
        <is>
          <t>Sprint 3</t>
        </is>
      </c>
      <c r="C109" s="7" t="inlineStr">
        <is>
          <t>Alta, edición, baja y conversión de eventos personales (SCRUM-195 y SCRUM-17)</t>
        </is>
      </c>
      <c r="D109" s="7" t="inlineStr">
        <is>
          <t>Editar evento propio</t>
        </is>
      </c>
      <c r="E109" s="7" t="inlineStr">
        <is>
          <t>Editar evento propio</t>
        </is>
      </c>
      <c r="F109" s="7" t="inlineStr">
        <is>
          <t>API levantada con WebApplicationFactory; sesión con el rol indicado en los pasos.</t>
        </is>
      </c>
      <c r="G109" s="7" t="inlineStr">
        <is>
          <t>SCRUM-17</t>
        </is>
      </c>
      <c r="H109" s="7" t="inlineStr">
        <is>
          <t>1. PUT /api/personal-calendar-events/{id}  →  204; AuditLog "Evento personal modificado"</t>
        </is>
      </c>
      <c r="I109" s="7" t="inlineStr">
        <is>
          <t>Put_ByOwnerReferent_Returns204AndChangesTitle, UpdateAsync_WhenAuthor_UpdatesFieldsAndLogsAudit</t>
        </is>
      </c>
      <c r="J109" s="7" t="inlineStr">
        <is>
          <t>OK</t>
        </is>
      </c>
      <c r="K109" s="7" t="inlineStr">
        <is>
          <t>2026-10-14</t>
        </is>
      </c>
      <c r="L109" s="7" t="inlineStr">
        <is>
          <t>Suite automatizada</t>
        </is>
      </c>
      <c r="M109" s="7" t="inlineStr"/>
    </row>
    <row r="110">
      <c r="A110" s="7" t="inlineStr">
        <is>
          <t>TC-109</t>
        </is>
      </c>
      <c r="B110" s="7" t="inlineStr">
        <is>
          <t>Sprint 3</t>
        </is>
      </c>
      <c r="C110" s="7" t="inlineStr">
        <is>
          <t>Alta, edición, baja y conversión de eventos personales (SCRUM-195 y SCRUM-17)</t>
        </is>
      </c>
      <c r="D110" s="7" t="inlineStr">
        <is>
          <t>Editar o borrar evento ajeno</t>
        </is>
      </c>
      <c r="E110" s="7" t="inlineStr">
        <is>
          <t>Editar o borrar evento ajeno</t>
        </is>
      </c>
      <c r="F110" s="7" t="inlineStr">
        <is>
          <t>API levantada con WebApplicationFactory; sesión con el rol indicado en los pasos.</t>
        </is>
      </c>
      <c r="G110" s="7" t="inlineStr">
        <is>
          <t>SCRUM-17</t>
        </is>
      </c>
      <c r="H110" s="7" t="inlineStr">
        <is>
          <t>1. PUT / DELETE de otro usuario  →  404 (no revela existencia)</t>
        </is>
      </c>
      <c r="I110" s="7" t="inlineStr">
        <is>
          <t>Put_OnOtherUsersEvent_Returns404, Delete_OnOtherUsersEvent_Returns404, UpdateAsync_WhenNotAuthor_ReturnsNotFoundAndKeepsEvent</t>
        </is>
      </c>
      <c r="J110" s="7" t="inlineStr">
        <is>
          <t>OK</t>
        </is>
      </c>
      <c r="K110" s="7" t="inlineStr">
        <is>
          <t>2026-10-14</t>
        </is>
      </c>
      <c r="L110" s="7" t="inlineStr">
        <is>
          <t>Suite automatizada</t>
        </is>
      </c>
      <c r="M110" s="7" t="inlineStr"/>
    </row>
    <row r="111">
      <c r="A111" s="7" t="inlineStr">
        <is>
          <t>TC-110</t>
        </is>
      </c>
      <c r="B111" s="7" t="inlineStr">
        <is>
          <t>Sprint 3</t>
        </is>
      </c>
      <c r="C111" s="7" t="inlineStr">
        <is>
          <t>Alta, edición, baja y conversión de eventos personales (SCRUM-195 y SCRUM-17)</t>
        </is>
      </c>
      <c r="D111" s="7" t="inlineStr">
        <is>
          <t>Validación al editar</t>
        </is>
      </c>
      <c r="E111" s="7" t="inlineStr">
        <is>
          <t>Validación al editar</t>
        </is>
      </c>
      <c r="F111" s="7" t="inlineStr">
        <is>
          <t>API levantada con WebApplicationFactory; sesión con el rol indicado en los pasos.</t>
        </is>
      </c>
      <c r="G111" s="7" t="inlineStr">
        <is>
          <t>SCRUM-17</t>
        </is>
      </c>
      <c r="H111" s="7" t="inlineStr">
        <is>
          <t>1. PUT con título vacío  →  400</t>
        </is>
      </c>
      <c r="I111" s="7" t="inlineStr">
        <is>
          <t>Put_WithEmptyTitle_Returns400</t>
        </is>
      </c>
      <c r="J111" s="7" t="inlineStr">
        <is>
          <t>OK</t>
        </is>
      </c>
      <c r="K111" s="7" t="inlineStr">
        <is>
          <t>2026-10-14</t>
        </is>
      </c>
      <c r="L111" s="7" t="inlineStr">
        <is>
          <t>Suite automatizada</t>
        </is>
      </c>
      <c r="M111" s="7" t="inlineStr"/>
    </row>
    <row r="112">
      <c r="A112" s="7" t="inlineStr">
        <is>
          <t>TC-111</t>
        </is>
      </c>
      <c r="B112" s="7" t="inlineStr">
        <is>
          <t>Sprint 3</t>
        </is>
      </c>
      <c r="C112" s="7" t="inlineStr">
        <is>
          <t>Alta, edición, baja y conversión de eventos personales (SCRUM-195 y SCRUM-17)</t>
        </is>
      </c>
      <c r="D112" s="7" t="inlineStr">
        <is>
          <t>Eliminar evento propio</t>
        </is>
      </c>
      <c r="E112" s="7" t="inlineStr">
        <is>
          <t>Eliminar evento propio</t>
        </is>
      </c>
      <c r="F112" s="7" t="inlineStr">
        <is>
          <t>API levantada con WebApplicationFactory; sesión con el rol indicado en los pasos.</t>
        </is>
      </c>
      <c r="G112" s="7" t="inlineStr">
        <is>
          <t>SCRUM-17</t>
        </is>
      </c>
      <c r="H112" s="7" t="inlineStr">
        <is>
          <t>1. DELETE /api/personal-calendar-events/{id}  →  204; detalle 404; AuditLog "Evento personal eliminado"</t>
        </is>
      </c>
      <c r="I112" s="7" t="inlineStr">
        <is>
          <t>Delete_ByOwnerReferent_Returns204ThenDetailIs404, DeleteAsync_WhenAuthor_RemovesEventAndLogsAudit</t>
        </is>
      </c>
      <c r="J112" s="7" t="inlineStr">
        <is>
          <t>OK</t>
        </is>
      </c>
      <c r="K112" s="7" t="inlineStr">
        <is>
          <t>2026-10-14</t>
        </is>
      </c>
      <c r="L112" s="7" t="inlineStr">
        <is>
          <t>Suite automatizada</t>
        </is>
      </c>
      <c r="M112" s="7" t="inlineStr"/>
    </row>
    <row r="113">
      <c r="A113" s="7" t="inlineStr">
        <is>
          <t>TC-112</t>
        </is>
      </c>
      <c r="B113" s="7" t="inlineStr">
        <is>
          <t>Sprint 3</t>
        </is>
      </c>
      <c r="C113" s="7" t="inlineStr">
        <is>
          <t>Alta, edición, baja y conversión de eventos personales (SCRUM-195 y SCRUM-17)</t>
        </is>
      </c>
      <c r="D113" s="7" t="inlineStr">
        <is>
          <t>Borrar con rol no permitido</t>
        </is>
      </c>
      <c r="E113" s="7" t="inlineStr">
        <is>
          <t>Borrar con rol no permitido</t>
        </is>
      </c>
      <c r="F113" s="7" t="inlineStr">
        <is>
          <t>API levantada con WebApplicationFactory; sesión con el rol indicado en los pasos.</t>
        </is>
      </c>
      <c r="G113" s="7" t="inlineStr">
        <is>
          <t>SCRUM-17</t>
        </is>
      </c>
      <c r="H113" s="7" t="inlineStr">
        <is>
          <t>1. DELETE con Esc / Dir  →  403</t>
        </is>
      </c>
      <c r="I113" s="7" t="inlineStr">
        <is>
          <t>Delete_WithNonReferentRoles_Returns403</t>
        </is>
      </c>
      <c r="J113" s="7" t="inlineStr">
        <is>
          <t>OK</t>
        </is>
      </c>
      <c r="K113" s="7" t="inlineStr">
        <is>
          <t>2026-10-14</t>
        </is>
      </c>
      <c r="L113" s="7" t="inlineStr">
        <is>
          <t>Suite automatizada</t>
        </is>
      </c>
      <c r="M113" s="7" t="inlineStr"/>
    </row>
    <row r="114">
      <c r="A114" s="7" t="inlineStr">
        <is>
          <t>TC-113</t>
        </is>
      </c>
      <c r="B114" s="7" t="inlineStr">
        <is>
          <t>Sprint 3</t>
        </is>
      </c>
      <c r="C114" s="7" t="inlineStr">
        <is>
          <t>Alta, edición, baja y conversión de eventos personales (SCRUM-195 y SCRUM-17)</t>
        </is>
      </c>
      <c r="D114" s="7" t="inlineStr">
        <is>
          <t>Convertir personal a general</t>
        </is>
      </c>
      <c r="E114" s="7" t="inlineStr">
        <is>
          <t>Convertir personal a general</t>
        </is>
      </c>
      <c r="F114" s="7" t="inlineStr">
        <is>
          <t>API levantada con WebApplicationFactory; sesión con el rol indicado en los pasos.</t>
        </is>
      </c>
      <c r="G114" s="7" t="inlineStr">
        <is>
          <t>SCRUM-17</t>
        </is>
      </c>
      <c r="H114" s="7" t="inlineStr">
        <is>
          <t>1. PUT /api/personal-calendar-events/{id}/publish  →  200 con id del evento general; el personal desaparece; AuditLog</t>
        </is>
      </c>
      <c r="I114" s="7" t="inlineStr">
        <is>
          <t>Publish_ByOwner_Returns200MovesEventToGeneral, PublishAsync_WhenAuthorPublishes_MovesEventToGeneralAndLogsAudit</t>
        </is>
      </c>
      <c r="J114" s="7" t="inlineStr">
        <is>
          <t>OK</t>
        </is>
      </c>
      <c r="K114" s="7" t="inlineStr">
        <is>
          <t>2026-10-14</t>
        </is>
      </c>
      <c r="L114" s="7" t="inlineStr">
        <is>
          <t>Suite automatizada</t>
        </is>
      </c>
      <c r="M114" s="7" t="inlineStr"/>
    </row>
    <row r="115">
      <c r="A115" s="7" t="inlineStr">
        <is>
          <t>TC-114</t>
        </is>
      </c>
      <c r="B115" s="7" t="inlineStr">
        <is>
          <t>Sprint 3</t>
        </is>
      </c>
      <c r="C115" s="7" t="inlineStr">
        <is>
          <t>Alta, edición, baja y conversión de eventos personales (SCRUM-195 y SCRUM-17)</t>
        </is>
      </c>
      <c r="D115" s="7" t="inlineStr">
        <is>
          <t>Convertir evento ajeno o inexistente</t>
        </is>
      </c>
      <c r="E115" s="7" t="inlineStr">
        <is>
          <t>Convertir evento ajeno o inexistente</t>
        </is>
      </c>
      <c r="F115" s="7" t="inlineStr">
        <is>
          <t>API levantada con WebApplicationFactory; sesión con el rol indicado en los pasos.</t>
        </is>
      </c>
      <c r="G115" s="7" t="inlineStr">
        <is>
          <t>SCRUM-17</t>
        </is>
      </c>
      <c r="H115" s="7" t="inlineStr">
        <is>
          <t>1. PUT /publish de otro usuario / id desconocido  →  404</t>
        </is>
      </c>
      <c r="I115" s="7" t="inlineStr">
        <is>
          <t>Publish_OnOtherUsersEvent_Returns404, PublishAsync_WhenEventBelongsToAnotherUser_ReturnsNotFoundAndDoesNotPublish</t>
        </is>
      </c>
      <c r="J115" s="7" t="inlineStr">
        <is>
          <t>OK</t>
        </is>
      </c>
      <c r="K115" s="7" t="inlineStr">
        <is>
          <t>2026-10-14</t>
        </is>
      </c>
      <c r="L115" s="7" t="inlineStr">
        <is>
          <t>Suite automatizada</t>
        </is>
      </c>
      <c r="M115" s="7" t="inlineStr"/>
    </row>
    <row r="116">
      <c r="A116" s="7" t="inlineStr">
        <is>
          <t>TC-115</t>
        </is>
      </c>
      <c r="B116" s="7" t="inlineStr">
        <is>
          <t>Sprint 3</t>
        </is>
      </c>
      <c r="C116" s="7" t="inlineStr">
        <is>
          <t>Edición y baja lógica de colaboradores (SCRUM-200)</t>
        </is>
      </c>
      <c r="D116" s="7" t="inlineStr">
        <is>
          <t>Editar colaborador</t>
        </is>
      </c>
      <c r="E116" s="7" t="inlineStr">
        <is>
          <t>Editar colaborador</t>
        </is>
      </c>
      <c r="F116" s="7" t="inlineStr">
        <is>
          <t>API levantada con WebApplicationFactory; sesión con el rol indicado en los pasos.</t>
        </is>
      </c>
      <c r="G116" s="7" t="inlineStr">
        <is>
          <t>SCRUM-18</t>
        </is>
      </c>
      <c r="H116" s="7" t="inlineStr">
        <is>
          <t>1. PUT /api/collaborators/{id} con Ref  →  204; el detalle refleja los cambios; AuditLog "Colaborador modificado"</t>
        </is>
      </c>
      <c r="I116" s="7" t="inlineStr">
        <is>
          <t>Put_ByReferent_Returns204AndDetailReflectsChanges, UpdateAsync_WithValidDto_UpdatesFieldsAndTrimsValues</t>
        </is>
      </c>
      <c r="J116" s="7" t="inlineStr">
        <is>
          <t>OK</t>
        </is>
      </c>
      <c r="K116" s="7" t="inlineStr">
        <is>
          <t>2026-10-14</t>
        </is>
      </c>
      <c r="L116" s="7" t="inlineStr">
        <is>
          <t>Suite automatizada</t>
        </is>
      </c>
      <c r="M116" s="7" t="inlineStr"/>
    </row>
    <row r="117">
      <c r="A117" s="7" t="inlineStr">
        <is>
          <t>TC-116</t>
        </is>
      </c>
      <c r="B117" s="7" t="inlineStr">
        <is>
          <t>Sprint 3</t>
        </is>
      </c>
      <c r="C117" s="7" t="inlineStr">
        <is>
          <t>Edición y baja lógica de colaboradores (SCRUM-200)</t>
        </is>
      </c>
      <c r="D117" s="7" t="inlineStr">
        <is>
          <t>Baja lógica</t>
        </is>
      </c>
      <c r="E117" s="7" t="inlineStr">
        <is>
          <t>Baja lógica</t>
        </is>
      </c>
      <c r="F117" s="7" t="inlineStr">
        <is>
          <t>API levantada con WebApplicationFactory; sesión con el rol indicado en los pasos.</t>
        </is>
      </c>
      <c r="G117" s="7" t="inlineStr">
        <is>
          <t>SCRUM-18</t>
        </is>
      </c>
      <c r="H117" s="7" t="inlineStr">
        <is>
          <t>1. PUT con isActive: false  →  204; el listado lo marca inactivo; AuditLog "Colaborador dado de baja"</t>
        </is>
      </c>
      <c r="I117" s="7" t="inlineStr">
        <is>
          <t>Put_WithIsActiveFalse_DeactivatesAndListShowsIt, UpdateAsync_WhenDeactivating_WritesDeactivatedAuditLog</t>
        </is>
      </c>
      <c r="J117" s="7" t="inlineStr">
        <is>
          <t>OK</t>
        </is>
      </c>
      <c r="K117" s="7" t="inlineStr">
        <is>
          <t>2026-10-14</t>
        </is>
      </c>
      <c r="L117" s="7" t="inlineStr">
        <is>
          <t>Suite automatizada</t>
        </is>
      </c>
      <c r="M117" s="7" t="inlineStr"/>
    </row>
    <row r="118">
      <c r="A118" s="7" t="inlineStr">
        <is>
          <t>TC-117</t>
        </is>
      </c>
      <c r="B118" s="7" t="inlineStr">
        <is>
          <t>Sprint 3</t>
        </is>
      </c>
      <c r="C118" s="7" t="inlineStr">
        <is>
          <t>Edición y baja lógica de colaboradores (SCRUM-200)</t>
        </is>
      </c>
      <c r="D118" s="7" t="inlineStr">
        <is>
          <t>Reactivación</t>
        </is>
      </c>
      <c r="E118" s="7" t="inlineStr">
        <is>
          <t>Reactivación</t>
        </is>
      </c>
      <c r="F118" s="7" t="inlineStr">
        <is>
          <t>API levantada con WebApplicationFactory; sesión con el rol indicado en los pasos.</t>
        </is>
      </c>
      <c r="G118" s="7" t="inlineStr">
        <is>
          <t>SCRUM-18</t>
        </is>
      </c>
      <c r="H118" s="7" t="inlineStr">
        <is>
          <t>1. PUT con isActive: true sobre uno inactivo  →  204; AuditLog "Colaborador reactivado"</t>
        </is>
      </c>
      <c r="I118" s="7" t="inlineStr">
        <is>
          <t>UpdateAsync_WhenReactivating_WritesReactivatedAuditLog</t>
        </is>
      </c>
      <c r="J118" s="7" t="inlineStr">
        <is>
          <t>OK</t>
        </is>
      </c>
      <c r="K118" s="7" t="inlineStr">
        <is>
          <t>2026-10-14</t>
        </is>
      </c>
      <c r="L118" s="7" t="inlineStr">
        <is>
          <t>Suite automatizada</t>
        </is>
      </c>
      <c r="M118" s="7" t="inlineStr"/>
    </row>
    <row r="119">
      <c r="A119" s="7" t="inlineStr">
        <is>
          <t>TC-118</t>
        </is>
      </c>
      <c r="B119" s="7" t="inlineStr">
        <is>
          <t>Sprint 3</t>
        </is>
      </c>
      <c r="C119" s="7" t="inlineStr">
        <is>
          <t>Edición y baja lógica de colaboradores (SCRUM-200)</t>
        </is>
      </c>
      <c r="D119" s="7" t="inlineStr">
        <is>
          <t>DNI duplicado al editar</t>
        </is>
      </c>
      <c r="E119" s="7" t="inlineStr">
        <is>
          <t>DNI duplicado al editar</t>
        </is>
      </c>
      <c r="F119" s="7" t="inlineStr">
        <is>
          <t>API levantada con WebApplicationFactory; sesión con el rol indicado en los pasos.</t>
        </is>
      </c>
      <c r="G119" s="7" t="inlineStr">
        <is>
          <t>SCRUM-18</t>
        </is>
      </c>
      <c r="H119" s="7" t="inlineStr">
        <is>
          <t>1. PUT con DNI de otro colaborador  →  409; conservar el propio DNI es válido</t>
        </is>
      </c>
      <c r="I119" s="7" t="inlineStr">
        <is>
          <t>Put_WithDuplicateDni_Returns409, UpdateAsync_WhenKeepingSameDni_Succeeds</t>
        </is>
      </c>
      <c r="J119" s="7" t="inlineStr">
        <is>
          <t>OK</t>
        </is>
      </c>
      <c r="K119" s="7" t="inlineStr">
        <is>
          <t>2026-10-14</t>
        </is>
      </c>
      <c r="L119" s="7" t="inlineStr">
        <is>
          <t>Suite automatizada</t>
        </is>
      </c>
      <c r="M119" s="7" t="inlineStr"/>
    </row>
    <row r="120">
      <c r="A120" s="7" t="inlineStr">
        <is>
          <t>TC-119</t>
        </is>
      </c>
      <c r="B120" s="7" t="inlineStr">
        <is>
          <t>Sprint 3</t>
        </is>
      </c>
      <c r="C120" s="7" t="inlineStr">
        <is>
          <t>Edición y baja lógica de colaboradores (SCRUM-200)</t>
        </is>
      </c>
      <c r="D120" s="7" t="inlineStr">
        <is>
          <t>Validaciones al editar</t>
        </is>
      </c>
      <c r="E120" s="7" t="inlineStr">
        <is>
          <t>Validaciones al editar</t>
        </is>
      </c>
      <c r="F120" s="7" t="inlineStr">
        <is>
          <t>API levantada con WebApplicationFactory; sesión con el rol indicado en los pasos.</t>
        </is>
      </c>
      <c r="G120" s="7" t="inlineStr">
        <is>
          <t>SCRUM-18</t>
        </is>
      </c>
      <c r="H120" s="7" t="inlineStr">
        <is>
          <t>1. firstName vacío; id inexistente  →  400 / 404</t>
        </is>
      </c>
      <c r="I120" s="7" t="inlineStr">
        <is>
          <t>Put_WithEmptyFirstName_Returns400, Put_UnknownCollaborator_Returns404</t>
        </is>
      </c>
      <c r="J120" s="7" t="inlineStr">
        <is>
          <t>OK</t>
        </is>
      </c>
      <c r="K120" s="7" t="inlineStr">
        <is>
          <t>2026-10-14</t>
        </is>
      </c>
      <c r="L120" s="7" t="inlineStr">
        <is>
          <t>Suite automatizada</t>
        </is>
      </c>
      <c r="M120" s="7" t="inlineStr"/>
    </row>
    <row r="121">
      <c r="A121" s="7" t="inlineStr">
        <is>
          <t>TC-120</t>
        </is>
      </c>
      <c r="B121" s="7" t="inlineStr">
        <is>
          <t>Sprint 3</t>
        </is>
      </c>
      <c r="C121" s="7" t="inlineStr">
        <is>
          <t>Edición y baja lógica de colaboradores (SCRUM-200)</t>
        </is>
      </c>
      <c r="D121" s="7" t="inlineStr">
        <is>
          <t>Edición solo Referente</t>
        </is>
      </c>
      <c r="E121" s="7" t="inlineStr">
        <is>
          <t>Edición solo Referente</t>
        </is>
      </c>
      <c r="F121" s="7" t="inlineStr">
        <is>
          <t>API levantada con WebApplicationFactory; sesión con el rol indicado en los pasos.</t>
        </is>
      </c>
      <c r="G121" s="7" t="inlineStr">
        <is>
          <t>SCRUM-18</t>
        </is>
      </c>
      <c r="H121" s="7" t="inlineStr">
        <is>
          <t>1. PUT con Dir / Esc / Coo  →  403</t>
        </is>
      </c>
      <c r="I121" s="7" t="inlineStr">
        <is>
          <t>Put_WithUnauthorizedRole_Returns403</t>
        </is>
      </c>
      <c r="J121" s="7" t="inlineStr">
        <is>
          <t>OK</t>
        </is>
      </c>
      <c r="K121" s="7" t="inlineStr">
        <is>
          <t>2026-10-14</t>
        </is>
      </c>
      <c r="L121" s="7" t="inlineStr">
        <is>
          <t>Suite automatizada</t>
        </is>
      </c>
      <c r="M121" s="7" t="inlineStr"/>
    </row>
    <row r="122">
      <c r="A122" s="7" t="inlineStr">
        <is>
          <t>TC-121</t>
        </is>
      </c>
      <c r="B122" s="7" t="inlineStr">
        <is>
          <t>Sprint 3</t>
        </is>
      </c>
      <c r="C122" s="7" t="inlineStr">
        <is>
          <t>Detalle y listado de colaboradores (SCRUM-205)</t>
        </is>
      </c>
      <c r="D122" s="7" t="inlineStr">
        <is>
          <t>Detalle de colaborador</t>
        </is>
      </c>
      <c r="E122" s="7" t="inlineStr">
        <is>
          <t>Detalle de colaborador</t>
        </is>
      </c>
      <c r="F122" s="7" t="inlineStr">
        <is>
          <t>API levantada con WebApplicationFactory; sesión con el rol indicado en los pasos.</t>
        </is>
      </c>
      <c r="G122" s="7" t="inlineStr">
        <is>
          <t>SCRUM-19</t>
        </is>
      </c>
      <c r="H122" s="7" t="inlineStr">
        <is>
          <t>1. GET /api/collaborators/{id} con cualquier rol autenticado  →  200 con datos completos, estado y quién lo registró</t>
        </is>
      </c>
      <c r="I122" s="7" t="inlineStr">
        <is>
          <t>GetById_WithAnyAuthenticatedRole_Returns200WithRegistrar, GetByIdAsync_WhenCollaboratorExists_ReturnsAllDetailsAndRegistrarName</t>
        </is>
      </c>
      <c r="J122" s="7" t="inlineStr">
        <is>
          <t>OK</t>
        </is>
      </c>
      <c r="K122" s="7" t="inlineStr">
        <is>
          <t>2026-10-14</t>
        </is>
      </c>
      <c r="L122" s="7" t="inlineStr">
        <is>
          <t>Suite automatizada</t>
        </is>
      </c>
      <c r="M122" s="7" t="inlineStr"/>
    </row>
    <row r="123">
      <c r="A123" s="7" t="inlineStr">
        <is>
          <t>TC-122</t>
        </is>
      </c>
      <c r="B123" s="7" t="inlineStr">
        <is>
          <t>Sprint 3</t>
        </is>
      </c>
      <c r="C123" s="7" t="inlineStr">
        <is>
          <t>Detalle y listado de colaboradores (SCRUM-205)</t>
        </is>
      </c>
      <c r="D123" s="7" t="inlineStr">
        <is>
          <t>Detalle inexistente / sin sesión</t>
        </is>
      </c>
      <c r="E123" s="7" t="inlineStr">
        <is>
          <t>Detalle inexistente / sin sesión</t>
        </is>
      </c>
      <c r="F123" s="7" t="inlineStr">
        <is>
          <t>API levantada con WebApplicationFactory; sesión con el rol indicado en los pasos.</t>
        </is>
      </c>
      <c r="G123" s="7" t="inlineStr">
        <is>
          <t>SCRUM-19</t>
        </is>
      </c>
      <c r="H123" s="7" t="inlineStr">
        <is>
          <t>1. id desconocido; sin token  →  404 / 401</t>
        </is>
      </c>
      <c r="I123" s="7" t="inlineStr">
        <is>
          <t>GetById_Unknown_Returns404, GetById_WithoutToken_Returns401</t>
        </is>
      </c>
      <c r="J123" s="7" t="inlineStr">
        <is>
          <t>OK</t>
        </is>
      </c>
      <c r="K123" s="7" t="inlineStr">
        <is>
          <t>2026-10-14</t>
        </is>
      </c>
      <c r="L123" s="7" t="inlineStr">
        <is>
          <t>Suite automatizada</t>
        </is>
      </c>
      <c r="M123" s="7" t="inlineStr"/>
    </row>
    <row r="124">
      <c r="A124" s="7" t="inlineStr">
        <is>
          <t>TC-123</t>
        </is>
      </c>
      <c r="B124" s="7" t="inlineStr">
        <is>
          <t>Sprint 3</t>
        </is>
      </c>
      <c r="C124" s="7" t="inlineStr">
        <is>
          <t>Detalle y listado de colaboradores (SCRUM-205)</t>
        </is>
      </c>
      <c r="D124" s="7" t="inlineStr">
        <is>
          <t>Listado completo</t>
        </is>
      </c>
      <c r="E124" s="7" t="inlineStr">
        <is>
          <t>Listado completo</t>
        </is>
      </c>
      <c r="F124" s="7" t="inlineStr">
        <is>
          <t>API levantada con WebApplicationFactory; sesión con el rol indicado en los pasos.</t>
        </is>
      </c>
      <c r="G124" s="7" t="inlineStr">
        <is>
          <t>SCRUM-19</t>
        </is>
      </c>
      <c r="H124" s="7" t="inlineStr">
        <is>
          <t>1. GET /api/collaborators  →  200 ordenado por nombre, con isActive y quién lo registró</t>
        </is>
      </c>
      <c r="I124" s="7" t="inlineStr">
        <is>
          <t>List_ReturnsCollaboratorsWithRegisteredByName, List_WithoutToken_Returns401</t>
        </is>
      </c>
      <c r="J124" s="7" t="inlineStr">
        <is>
          <t>OK</t>
        </is>
      </c>
      <c r="K124" s="7" t="inlineStr">
        <is>
          <t>2026-10-14</t>
        </is>
      </c>
      <c r="L124" s="7" t="inlineStr">
        <is>
          <t>Suite automatizada</t>
        </is>
      </c>
      <c r="M124" s="7" t="inlineStr"/>
    </row>
    <row r="125">
      <c r="A125" s="7" t="inlineStr">
        <is>
          <t>TC-124</t>
        </is>
      </c>
      <c r="B125" s="7" t="inlineStr">
        <is>
          <t>Sprint 3</t>
        </is>
      </c>
      <c r="C125" s="7" t="inlineStr">
        <is>
          <t>Cambio de estado, solapamiento y permisos (SCRUM-211 y SCRUM-212)</t>
        </is>
      </c>
      <c r="D125" s="7" t="inlineStr">
        <is>
          <t>Marcar visita realizada</t>
        </is>
      </c>
      <c r="E125" s="7" t="inlineStr">
        <is>
          <t>Marcar visita realizada</t>
        </is>
      </c>
      <c r="F125" s="7" t="inlineStr">
        <is>
          <t>API levantada con WebApplicationFactory; sesión con el rol indicado en los pasos.</t>
        </is>
      </c>
      <c r="G125" s="7" t="inlineStr">
        <is>
          <t>SCRUM-74</t>
        </is>
      </c>
      <c r="H125" s="7" t="inlineStr">
        <is>
          <t>1. PATCH /api/casona-visits/{id}/status {status: 1}  →  204; queda Completed; AuditLog "Visita marcada como realizada"</t>
        </is>
      </c>
      <c r="I125" s="7" t="inlineStr">
        <is>
          <t>Patch_ToCompleted_Returns204AndPersistsStatus, ChangeStatusAsync_WhenChangingToCompleted_UpdatesStatusAndLogsAudit</t>
        </is>
      </c>
      <c r="J125" s="7" t="inlineStr">
        <is>
          <t>OK</t>
        </is>
      </c>
      <c r="K125" s="7" t="inlineStr">
        <is>
          <t>2026-10-14</t>
        </is>
      </c>
      <c r="L125" s="7" t="inlineStr">
        <is>
          <t>Suite automatizada</t>
        </is>
      </c>
      <c r="M125" s="7" t="inlineStr"/>
    </row>
    <row r="126">
      <c r="A126" s="7" t="inlineStr">
        <is>
          <t>TC-125</t>
        </is>
      </c>
      <c r="B126" s="7" t="inlineStr">
        <is>
          <t>Sprint 3</t>
        </is>
      </c>
      <c r="C126" s="7" t="inlineStr">
        <is>
          <t>Cambio de estado, solapamiento y permisos (SCRUM-211 y SCRUM-212)</t>
        </is>
      </c>
      <c r="D126" s="7" t="inlineStr">
        <is>
          <t>Cancelar con motivo</t>
        </is>
      </c>
      <c r="E126" s="7" t="inlineStr">
        <is>
          <t>Cancelar con motivo</t>
        </is>
      </c>
      <c r="F126" s="7" t="inlineStr">
        <is>
          <t>API levantada con WebApplicationFactory; sesión con el rol indicado en los pasos.</t>
        </is>
      </c>
      <c r="G126" s="7" t="inlineStr">
        <is>
          <t>SCRUM-74</t>
        </is>
      </c>
      <c r="H126" s="7" t="inlineStr">
        <is>
          <t>1. PATCH {status: 2, cancellationReason}  →  204; guarda el motivo; AuditLog "Visita cancelada"</t>
        </is>
      </c>
      <c r="I126" s="7" t="inlineStr">
        <is>
          <t>Patch_ToCancelled_StoresReason, ChangeStatusAsync_WhenChangingToCancelled_SavesReasonAndLogsAudit</t>
        </is>
      </c>
      <c r="J126" s="7" t="inlineStr">
        <is>
          <t>OK</t>
        </is>
      </c>
      <c r="K126" s="7" t="inlineStr">
        <is>
          <t>2026-10-14</t>
        </is>
      </c>
      <c r="L126" s="7" t="inlineStr">
        <is>
          <t>Suite automatizada</t>
        </is>
      </c>
      <c r="M126" s="7" t="inlineStr"/>
    </row>
    <row r="127">
      <c r="A127" s="7" t="inlineStr">
        <is>
          <t>TC-126</t>
        </is>
      </c>
      <c r="B127" s="7" t="inlineStr">
        <is>
          <t>Sprint 3</t>
        </is>
      </c>
      <c r="C127" s="7" t="inlineStr">
        <is>
          <t>Cambio de estado, solapamiento y permisos (SCRUM-211 y SCRUM-212)</t>
        </is>
      </c>
      <c r="D127" s="7" t="inlineStr">
        <is>
          <t>Estado inválido / visita inexistente</t>
        </is>
      </c>
      <c r="E127" s="7" t="inlineStr">
        <is>
          <t>Estado inválido / visita inexistente</t>
        </is>
      </c>
      <c r="F127" s="7" t="inlineStr">
        <is>
          <t>API levantada con WebApplicationFactory; sesión con el rol indicado en los pasos.</t>
        </is>
      </c>
      <c r="G127" s="7" t="inlineStr">
        <is>
          <t>SCRUM-74</t>
        </is>
      </c>
      <c r="H127" s="7" t="inlineStr">
        <is>
          <t>1. PATCH {status: 9}; id desconocido  →  400 / 404</t>
        </is>
      </c>
      <c r="I127" s="7" t="inlineStr">
        <is>
          <t>Patch_WithInvalidStatusValue_Returns400, Patch_UnknownVisit_Returns404, ChangeStatusAsync_WhenVisitNotFound_ReturnsNotFound</t>
        </is>
      </c>
      <c r="J127" s="7" t="inlineStr">
        <is>
          <t>OK</t>
        </is>
      </c>
      <c r="K127" s="7" t="inlineStr">
        <is>
          <t>2026-10-14</t>
        </is>
      </c>
      <c r="L127" s="7" t="inlineStr">
        <is>
          <t>Suite automatizada</t>
        </is>
      </c>
      <c r="M127" s="7" t="inlineStr"/>
    </row>
    <row r="128">
      <c r="A128" s="7" t="inlineStr">
        <is>
          <t>TC-127</t>
        </is>
      </c>
      <c r="B128" s="7" t="inlineStr">
        <is>
          <t>Sprint 3</t>
        </is>
      </c>
      <c r="C128" s="7" t="inlineStr">
        <is>
          <t>Cambio de estado, solapamiento y permisos (SCRUM-211 y SCRUM-212)</t>
        </is>
      </c>
      <c r="D128" s="7" t="inlineStr">
        <is>
          <t>Horario liberado por una cancelada</t>
        </is>
      </c>
      <c r="E128" s="7" t="inlineStr">
        <is>
          <t>Horario liberado por una cancelada</t>
        </is>
      </c>
      <c r="F128" s="7" t="inlineStr">
        <is>
          <t>API levantada con WebApplicationFactory; sesión con el rol indicado en los pasos.</t>
        </is>
      </c>
      <c r="G128" s="7" t="inlineStr">
        <is>
          <t>SCRUM-74</t>
        </is>
      </c>
      <c r="H128" s="7" t="inlineStr">
        <is>
          <t>1. Alta en el horario de una visita Cancelada  →  201 (no hay conflicto)</t>
        </is>
      </c>
      <c r="I128" s="7" t="inlineStr">
        <is>
          <t>CreateAsync_WhenSlotWasOccupiedByCancelledVisit_DoesNotConflict</t>
        </is>
      </c>
      <c r="J128" s="7" t="inlineStr">
        <is>
          <t>OK</t>
        </is>
      </c>
      <c r="K128" s="7" t="inlineStr">
        <is>
          <t>2026-10-14</t>
        </is>
      </c>
      <c r="L128" s="7" t="inlineStr">
        <is>
          <t>Suite automatizada</t>
        </is>
      </c>
      <c r="M128" s="7" t="inlineStr"/>
    </row>
    <row r="129">
      <c r="A129" s="7" t="inlineStr">
        <is>
          <t>TC-128</t>
        </is>
      </c>
      <c r="B129" s="7" t="inlineStr">
        <is>
          <t>Sprint 3</t>
        </is>
      </c>
      <c r="C129" s="7" t="inlineStr">
        <is>
          <t>Cambio de estado, solapamiento y permisos (SCRUM-211 y SCRUM-212)</t>
        </is>
      </c>
      <c r="D129" s="7" t="inlineStr">
        <is>
          <t>Escucha sin acceso a visitas</t>
        </is>
      </c>
      <c r="E129" s="7" t="inlineStr">
        <is>
          <t>Escucha sin acceso a visitas</t>
        </is>
      </c>
      <c r="F129" s="7" t="inlineStr">
        <is>
          <t>API levantada con WebApplicationFactory; sesión con el rol indicado en los pasos.</t>
        </is>
      </c>
      <c r="G129" s="7" t="inlineStr">
        <is>
          <t>SCRUM-74</t>
        </is>
      </c>
      <c r="H129" s="7" t="inlineStr">
        <is>
          <t>1. GET / PATCH con Esc  →  403</t>
        </is>
      </c>
      <c r="I129" s="7" t="inlineStr">
        <is>
          <t>Get_WithListenerRole_Returns403, Patch_WithListenerRole_Returns403, Controller_HasAuthorizeAttribute_RestrictedToExpectedRoles, GetByRange_DoesNotAllowListenerRole</t>
        </is>
      </c>
      <c r="J129" s="7" t="inlineStr">
        <is>
          <t>OK</t>
        </is>
      </c>
      <c r="K129" s="7" t="inlineStr">
        <is>
          <t>2026-10-14</t>
        </is>
      </c>
      <c r="L129" s="7" t="inlineStr">
        <is>
          <t>Suite automatizada</t>
        </is>
      </c>
      <c r="M129" s="7" t="inlineStr"/>
    </row>
    <row r="130">
      <c r="A130" s="7" t="inlineStr">
        <is>
          <t>TC-129</t>
        </is>
      </c>
      <c r="B130" s="7" t="inlineStr">
        <is>
          <t>Sprint 3</t>
        </is>
      </c>
      <c r="C130" s="7" t="inlineStr">
        <is>
          <t>Cambio de estado, solapamiento y permisos (SCRUM-211 y SCRUM-212)</t>
        </is>
      </c>
      <c r="D130" s="7" t="inlineStr">
        <is>
          <t>Roles con acceso</t>
        </is>
      </c>
      <c r="E130" s="7" t="inlineStr">
        <is>
          <t>Roles con acceso</t>
        </is>
      </c>
      <c r="F130" s="7" t="inlineStr">
        <is>
          <t>API levantada con WebApplicationFactory; sesión con el rol indicado en los pasos.</t>
        </is>
      </c>
      <c r="G130" s="7" t="inlineStr">
        <is>
          <t>SCRUM-74</t>
        </is>
      </c>
      <c r="H130" s="7" t="inlineStr">
        <is>
          <t>1. GET con Ref / Dir / Coo  →  200</t>
        </is>
      </c>
      <c r="I130" s="7" t="inlineStr">
        <is>
          <t>Get_WithEachAuthorizedRole_Returns200</t>
        </is>
      </c>
      <c r="J130" s="7" t="inlineStr">
        <is>
          <t>OK</t>
        </is>
      </c>
      <c r="K130" s="7" t="inlineStr">
        <is>
          <t>2026-10-14</t>
        </is>
      </c>
      <c r="L130" s="7" t="inlineStr">
        <is>
          <t>Suite automatizada</t>
        </is>
      </c>
      <c r="M130" s="7" t="inlineStr"/>
    </row>
    <row r="131">
      <c r="A131" s="7" t="inlineStr">
        <is>
          <t>TC-130</t>
        </is>
      </c>
      <c r="B131" s="7" t="inlineStr">
        <is>
          <t>Sprint 3</t>
        </is>
      </c>
      <c r="C131" s="7" t="inlineStr">
        <is>
          <t>QA de UI — frontend integrado (2026-10-08)</t>
        </is>
      </c>
      <c r="D131" s="7" t="inlineStr">
        <is>
          <t>Editar un evento general desde el detalle (PUT 204)</t>
        </is>
      </c>
      <c r="E131" s="7" t="inlineStr">
        <is>
          <t>Editar un evento general desde el detalle (PUT 204)</t>
        </is>
      </c>
      <c r="F131" s="7" t="inlineStr">
        <is>
          <t>Stack local levantado (docker compose en backend/); usuarios de prueba *@test.com.</t>
        </is>
      </c>
      <c r="G131" s="7" t="inlineStr">
        <is>
          <t>SCRUM-74</t>
        </is>
      </c>
      <c r="H131" s="7" t="inlineStr">
        <is>
          <t>1. Editar un evento general desde el detalle (PUT 204)  →  El flujo se completa sin errores de API</t>
        </is>
      </c>
      <c r="I131" s="7" t="inlineStr">
        <is>
          <t>docs/qa/e2e/sprint3-ui-flows.mjs</t>
        </is>
      </c>
      <c r="J131" s="7" t="inlineStr">
        <is>
          <t>OK</t>
        </is>
      </c>
      <c r="K131" s="7" t="inlineStr">
        <is>
          <t>2026-10-14</t>
        </is>
      </c>
      <c r="L131" s="7" t="inlineStr">
        <is>
          <t>Mateo Pavoni</t>
        </is>
      </c>
      <c r="M131" s="7" t="inlineStr"/>
    </row>
    <row r="132">
      <c r="A132" s="7" t="inlineStr">
        <is>
          <t>TC-131</t>
        </is>
      </c>
      <c r="B132" s="7" t="inlineStr">
        <is>
          <t>Sprint 3</t>
        </is>
      </c>
      <c r="C132" s="7" t="inlineStr">
        <is>
          <t>QA de UI — frontend integrado (2026-10-08)</t>
        </is>
      </c>
      <c r="D132" s="7" t="inlineStr">
        <is>
          <t>Eliminar un evento general con confirmación (DELETE 204)</t>
        </is>
      </c>
      <c r="E132" s="7" t="inlineStr">
        <is>
          <t>Eliminar un evento general con confirmación (DELETE 204)</t>
        </is>
      </c>
      <c r="F132" s="7" t="inlineStr">
        <is>
          <t>Stack local levantado (docker compose en backend/); usuarios de prueba *@test.com.</t>
        </is>
      </c>
      <c r="G132" s="7" t="inlineStr">
        <is>
          <t>SCRUM-74</t>
        </is>
      </c>
      <c r="H132" s="7" t="inlineStr">
        <is>
          <t>1. Eliminar un evento general con confirmación (DELETE 204)  →  El flujo se completa sin errores de API</t>
        </is>
      </c>
      <c r="I132" s="7" t="inlineStr">
        <is>
          <t>docs/qa/e2e/sprint3-ui-flows.mjs</t>
        </is>
      </c>
      <c r="J132" s="7" t="inlineStr">
        <is>
          <t>OK</t>
        </is>
      </c>
      <c r="K132" s="7" t="inlineStr">
        <is>
          <t>2026-10-14</t>
        </is>
      </c>
      <c r="L132" s="7" t="inlineStr">
        <is>
          <t>Mateo Pavoni</t>
        </is>
      </c>
      <c r="M132" s="7" t="inlineStr"/>
    </row>
    <row r="133">
      <c r="A133" s="7" t="inlineStr">
        <is>
          <t>TC-132</t>
        </is>
      </c>
      <c r="B133" s="7" t="inlineStr">
        <is>
          <t>Sprint 3</t>
        </is>
      </c>
      <c r="C133" s="7" t="inlineStr">
        <is>
          <t>QA de UI — frontend integrado (2026-10-08)</t>
        </is>
      </c>
      <c r="D133" s="7" t="inlineStr">
        <is>
          <t>Convertir un evento personal en general: sale de "Mi calendario" y aparece en "General" (PUT /publish)</t>
        </is>
      </c>
      <c r="E133" s="7" t="inlineStr">
        <is>
          <t>Convertir un evento personal en general: sale de "Mi calendario" y aparece en "General" (PUT /publish)</t>
        </is>
      </c>
      <c r="F133" s="7" t="inlineStr">
        <is>
          <t>Stack local levantado (docker compose en backend/); usuarios de prueba *@test.com.</t>
        </is>
      </c>
      <c r="G133" s="7" t="inlineStr">
        <is>
          <t>SCRUM-74</t>
        </is>
      </c>
      <c r="H133" s="7" t="inlineStr">
        <is>
          <t>1. Convertir un evento personal en general: sale de "Mi calendario" y aparece en "General" (PUT /publish)  →  El flujo se completa sin errores de API</t>
        </is>
      </c>
      <c r="I133" s="7" t="inlineStr">
        <is>
          <t>docs/qa/e2e/sprint3-ui-flows.mjs</t>
        </is>
      </c>
      <c r="J133" s="7" t="inlineStr">
        <is>
          <t>OK</t>
        </is>
      </c>
      <c r="K133" s="7" t="inlineStr">
        <is>
          <t>2026-10-14</t>
        </is>
      </c>
      <c r="L133" s="7" t="inlineStr">
        <is>
          <t>Mateo Pavoni</t>
        </is>
      </c>
      <c r="M133" s="7" t="inlineStr"/>
    </row>
    <row r="134">
      <c r="A134" s="7" t="inlineStr">
        <is>
          <t>TC-133</t>
        </is>
      </c>
      <c r="B134" s="7" t="inlineStr">
        <is>
          <t>Sprint 3</t>
        </is>
      </c>
      <c r="C134" s="7" t="inlineStr">
        <is>
          <t>QA de UI — frontend integrado (2026-10-08)</t>
        </is>
      </c>
      <c r="D134" s="7" t="inlineStr">
        <is>
          <t>Editar un colaborador desde la UI (PUT 204)</t>
        </is>
      </c>
      <c r="E134" s="7" t="inlineStr">
        <is>
          <t>Editar un colaborador desde la UI (PUT 204)</t>
        </is>
      </c>
      <c r="F134" s="7" t="inlineStr">
        <is>
          <t>Stack local levantado (docker compose en backend/); usuarios de prueba *@test.com.</t>
        </is>
      </c>
      <c r="G134" s="7" t="inlineStr">
        <is>
          <t>SCRUM-74</t>
        </is>
      </c>
      <c r="H134" s="7" t="inlineStr">
        <is>
          <t>1. Editar un colaborador desde la UI (PUT 204)  →  El flujo se completa sin errores de API</t>
        </is>
      </c>
      <c r="I134" s="7" t="inlineStr">
        <is>
          <t>docs/qa/e2e/sprint3-ui-flows.mjs</t>
        </is>
      </c>
      <c r="J134" s="7" t="inlineStr">
        <is>
          <t>OK</t>
        </is>
      </c>
      <c r="K134" s="7" t="inlineStr">
        <is>
          <t>2026-10-14</t>
        </is>
      </c>
      <c r="L134" s="7" t="inlineStr">
        <is>
          <t>Mateo Pavoni</t>
        </is>
      </c>
      <c r="M134" s="7" t="inlineStr"/>
    </row>
    <row r="135">
      <c r="A135" s="7" t="inlineStr">
        <is>
          <t>TC-134</t>
        </is>
      </c>
      <c r="B135" s="7" t="inlineStr">
        <is>
          <t>Sprint 3</t>
        </is>
      </c>
      <c r="C135" s="7" t="inlineStr">
        <is>
          <t>QA de UI — frontend integrado (2026-10-08)</t>
        </is>
      </c>
      <c r="D135" s="7" t="inlineStr">
        <is>
          <t>Dar de baja: pasa a la pestaña "Inactivos" y la baja persiste al recargar</t>
        </is>
      </c>
      <c r="E135" s="7" t="inlineStr">
        <is>
          <t>Dar de baja: pasa a la pestaña "Inactivos" y la baja persiste al recargar</t>
        </is>
      </c>
      <c r="F135" s="7" t="inlineStr">
        <is>
          <t>Stack local levantado (docker compose en backend/); usuarios de prueba *@test.com.</t>
        </is>
      </c>
      <c r="G135" s="7" t="inlineStr">
        <is>
          <t>SCRUM-74</t>
        </is>
      </c>
      <c r="H135" s="7" t="inlineStr">
        <is>
          <t>1. Dar de baja: pasa a la pestaña "Inactivos" y la baja persiste al recargar  →  El flujo se completa sin errores de API</t>
        </is>
      </c>
      <c r="I135" s="7" t="inlineStr">
        <is>
          <t>docs/qa/e2e/sprint3-ui-flows.mjs</t>
        </is>
      </c>
      <c r="J135" s="7" t="inlineStr">
        <is>
          <t>OK</t>
        </is>
      </c>
      <c r="K135" s="7" t="inlineStr">
        <is>
          <t>2026-10-14</t>
        </is>
      </c>
      <c r="L135" s="7" t="inlineStr">
        <is>
          <t>Mateo Pavoni</t>
        </is>
      </c>
      <c r="M135" s="7" t="inlineStr"/>
    </row>
    <row r="136">
      <c r="A136" s="7" t="inlineStr">
        <is>
          <t>TC-135</t>
        </is>
      </c>
      <c r="B136" s="7" t="inlineStr">
        <is>
          <t>Sprint 3</t>
        </is>
      </c>
      <c r="C136" s="7" t="inlineStr">
        <is>
          <t>QA de UI — frontend integrado (2026-10-08)</t>
        </is>
      </c>
      <c r="D136" s="7" t="inlineStr">
        <is>
          <t>Reactivar un colaborador: vuelve a "Activos"</t>
        </is>
      </c>
      <c r="E136" s="7" t="inlineStr">
        <is>
          <t>Reactivar un colaborador: vuelve a "Activos"</t>
        </is>
      </c>
      <c r="F136" s="7" t="inlineStr">
        <is>
          <t>Stack local levantado (docker compose en backend/); usuarios de prueba *@test.com.</t>
        </is>
      </c>
      <c r="G136" s="7" t="inlineStr">
        <is>
          <t>SCRUM-74</t>
        </is>
      </c>
      <c r="H136" s="7" t="inlineStr">
        <is>
          <t>1. Reactivar un colaborador: vuelve a "Activos"  →  El flujo se completa sin errores de API</t>
        </is>
      </c>
      <c r="I136" s="7" t="inlineStr">
        <is>
          <t>docs/qa/e2e/sprint3-ui-flows.mjs</t>
        </is>
      </c>
      <c r="J136" s="7" t="inlineStr">
        <is>
          <t>OK</t>
        </is>
      </c>
      <c r="K136" s="7" t="inlineStr">
        <is>
          <t>2026-10-14</t>
        </is>
      </c>
      <c r="L136" s="7" t="inlineStr">
        <is>
          <t>Mateo Pavoni</t>
        </is>
      </c>
      <c r="M136" s="7" t="inlineStr"/>
    </row>
    <row r="137">
      <c r="A137" s="7" t="inlineStr">
        <is>
          <t>TC-136</t>
        </is>
      </c>
      <c r="B137" s="7" t="inlineStr">
        <is>
          <t>Sprint 3</t>
        </is>
      </c>
      <c r="C137" s="7" t="inlineStr">
        <is>
          <t>QA de UI — frontend integrado (2026-10-08)</t>
        </is>
      </c>
      <c r="D137" s="7" t="inlineStr">
        <is>
          <t>Marcar visita realizada y cancelar con motivo vía `PATCH /status`</t>
        </is>
      </c>
      <c r="E137" s="7" t="inlineStr">
        <is>
          <t>Marcar visita realizada y cancelar con motivo vía `PATCH /status`</t>
        </is>
      </c>
      <c r="F137" s="7" t="inlineStr">
        <is>
          <t>Stack local levantado (docker compose en backend/); usuarios de prueba *@test.com.</t>
        </is>
      </c>
      <c r="G137" s="7" t="inlineStr">
        <is>
          <t>SCRUM-74</t>
        </is>
      </c>
      <c r="H137" s="7" t="inlineStr">
        <is>
          <t>1. Marcar visita realizada y cancelar con motivo vía `PATCH /status`  →  El flujo se completa sin errores de API</t>
        </is>
      </c>
      <c r="I137" s="7" t="inlineStr">
        <is>
          <t>docs/qa/e2e/sprint3-ui-flows.mjs</t>
        </is>
      </c>
      <c r="J137" s="7" t="inlineStr">
        <is>
          <t>OK</t>
        </is>
      </c>
      <c r="K137" s="7" t="inlineStr">
        <is>
          <t>2026-10-14</t>
        </is>
      </c>
      <c r="L137" s="7" t="inlineStr">
        <is>
          <t>Mateo Pavoni</t>
        </is>
      </c>
      <c r="M137" s="7" t="inlineStr"/>
    </row>
    <row r="138">
      <c r="A138" s="7" t="inlineStr">
        <is>
          <t>TC-137</t>
        </is>
      </c>
      <c r="B138" s="7" t="inlineStr">
        <is>
          <t>Sprint 3</t>
        </is>
      </c>
      <c r="C138" s="7" t="inlineStr">
        <is>
          <t>Recurrencia mensual y series recurrentes (SCRUM-189)</t>
        </is>
      </c>
      <c r="D138" s="7" t="inlineStr">
        <is>
          <t>Evento mensual</t>
        </is>
      </c>
      <c r="E138" s="7" t="inlineStr">
        <is>
          <t>Evento mensual</t>
        </is>
      </c>
      <c r="F138" s="7" t="inlineStr">
        <is>
          <t>API levantada con WebApplicationFactory; sesión con el rol indicado en los pasos.</t>
        </is>
      </c>
      <c r="G138" s="7" t="inlineStr">
        <is>
          <t>SCRUM-16</t>
        </is>
      </c>
      <c r="H138" s="7" t="inlineStr">
        <is>
          <t>1. POST /api/general-calendar-events con repeatsMonthly: true y consultar el mismo día de meses posteriores  →  Aparece el mismo día de cada mes; no aparece otros días ni antes de su fecha</t>
        </is>
      </c>
      <c r="I138" s="7" t="inlineStr">
        <is>
          <t>Post_MonthlyEvent_AppearsOnSameDayOfLaterMonths, Expand_MonthlyEvent_ReturnsSameDayEachMonth</t>
        </is>
      </c>
      <c r="J138" s="7" t="inlineStr">
        <is>
          <t>OK</t>
        </is>
      </c>
      <c r="K138" s="7" t="inlineStr">
        <is>
          <t>2026-10-14</t>
        </is>
      </c>
      <c r="L138" s="7" t="inlineStr">
        <is>
          <t>Suite automatizada</t>
        </is>
      </c>
      <c r="M138" s="7" t="inlineStr"/>
    </row>
    <row r="139">
      <c r="A139" s="7" t="inlineStr">
        <is>
          <t>TC-138</t>
        </is>
      </c>
      <c r="B139" s="7" t="inlineStr">
        <is>
          <t>Sprint 3</t>
        </is>
      </c>
      <c r="C139" s="7" t="inlineStr">
        <is>
          <t>Recurrencia mensual y series recurrentes (SCRUM-189)</t>
        </is>
      </c>
      <c r="D139" s="7" t="inlineStr">
        <is>
          <t>Mes más corto</t>
        </is>
      </c>
      <c r="E139" s="7" t="inlineStr">
        <is>
          <t>Mes más corto</t>
        </is>
      </c>
      <c r="F139" s="7" t="inlineStr">
        <is>
          <t>API levantada con WebApplicationFactory; sesión con el rol indicado en los pasos.</t>
        </is>
      </c>
      <c r="G139" s="7" t="inlineStr">
        <is>
          <t>SCRUM-16</t>
        </is>
      </c>
      <c r="H139" s="7" t="inlineStr">
        <is>
          <t>1. Evento mensual del día 31  →  Cae el último día de los meses de 30 días y de febrero (28 o 29)</t>
        </is>
      </c>
      <c r="I139" s="7" t="inlineStr">
        <is>
          <t>Expand_MonthlyEventOnDay31_FallsOnLastDayOfShorterMonths, Expand_MonthlyEventOnDay31_UsesLeapDayInLeapYear</t>
        </is>
      </c>
      <c r="J139" s="7" t="inlineStr">
        <is>
          <t>OK</t>
        </is>
      </c>
      <c r="K139" s="7" t="inlineStr">
        <is>
          <t>2026-10-14</t>
        </is>
      </c>
      <c r="L139" s="7" t="inlineStr">
        <is>
          <t>Suite automatizada</t>
        </is>
      </c>
      <c r="M139" s="7" t="inlineStr"/>
    </row>
    <row r="140">
      <c r="A140" s="7" t="inlineStr">
        <is>
          <t>TC-139</t>
        </is>
      </c>
      <c r="B140" s="7" t="inlineStr">
        <is>
          <t>Sprint 3</t>
        </is>
      </c>
      <c r="C140" s="7" t="inlineStr">
        <is>
          <t>Recurrencia mensual y series recurrentes (SCRUM-189)</t>
        </is>
      </c>
      <c r="D140" s="7" t="inlineStr">
        <is>
          <t>Serie iniciada antes del rango</t>
        </is>
      </c>
      <c r="E140" s="7" t="inlineStr">
        <is>
          <t>Serie iniciada antes del rango</t>
        </is>
      </c>
      <c r="F140" s="7" t="inlineStr">
        <is>
          <t>API levantada con WebApplicationFactory; sesión con el rol indicado en los pasos.</t>
        </is>
      </c>
      <c r="G140" s="7" t="inlineStr">
        <is>
          <t>SCRUM-16</t>
        </is>
      </c>
      <c r="H140" s="7" t="inlineStr">
        <is>
          <t>1. Evento semanal creado en octubre, consultar una semana de diciembre  →  Se muestra (antes solo aparecía en su semana de inicio)</t>
        </is>
      </c>
      <c r="I140" s="7" t="inlineStr">
        <is>
          <t>Post_WeeklyEventStartedBeforeRange_AppearsInLaterWeeks, Expand_MonthlyEventStartingBeforeRange_ShowsOccurrenceInsideRange</t>
        </is>
      </c>
      <c r="J140" s="7" t="inlineStr">
        <is>
          <t>OK</t>
        </is>
      </c>
      <c r="K140" s="7" t="inlineStr">
        <is>
          <t>2026-10-14</t>
        </is>
      </c>
      <c r="L140" s="7" t="inlineStr">
        <is>
          <t>Suite automatizada</t>
        </is>
      </c>
      <c r="M140" s="7" t="inlineStr"/>
    </row>
    <row r="141">
      <c r="A141" s="7" t="inlineStr">
        <is>
          <t>TC-140</t>
        </is>
      </c>
      <c r="B141" s="7" t="inlineStr">
        <is>
          <t>Sprint 3</t>
        </is>
      </c>
      <c r="C141" s="7" t="inlineStr">
        <is>
          <t>Recurrencia mensual y series recurrentes (SCRUM-189)</t>
        </is>
      </c>
      <c r="D141" s="7" t="inlineStr">
        <is>
          <t>Mensual combinado con días</t>
        </is>
      </c>
      <c r="E141" s="7" t="inlineStr">
        <is>
          <t>Mensual combinado con días</t>
        </is>
      </c>
      <c r="F141" s="7" t="inlineStr">
        <is>
          <t>API levantada con WebApplicationFactory; sesión con el rol indicado en los pasos.</t>
        </is>
      </c>
      <c r="G141" s="7" t="inlineStr">
        <is>
          <t>SCRUM-16</t>
        </is>
      </c>
      <c r="H141" s="7" t="inlineStr">
        <is>
          <t>1. repeatsMonthly: true y recurrenceDays con valor  →  400</t>
        </is>
      </c>
      <c r="I141" s="7" t="inlineStr">
        <is>
          <t>Post_MonthlyCombinedWithWeekDays_Returns400</t>
        </is>
      </c>
      <c r="J141" s="7" t="inlineStr">
        <is>
          <t>OK</t>
        </is>
      </c>
      <c r="K141" s="7" t="inlineStr">
        <is>
          <t>2026-10-14</t>
        </is>
      </c>
      <c r="L141" s="7" t="inlineStr">
        <is>
          <t>Suite automatizada</t>
        </is>
      </c>
      <c r="M141" s="7" t="inlineStr"/>
    </row>
    <row r="142">
      <c r="A142" s="7" t="inlineStr">
        <is>
          <t>TC-141</t>
        </is>
      </c>
      <c r="B142" s="7" t="inlineStr">
        <is>
          <t>Sprint 3</t>
        </is>
      </c>
      <c r="C142" s="7" t="inlineStr">
        <is>
          <t>Recurrencia mensual y series recurrentes (SCRUM-189)</t>
        </is>
      </c>
      <c r="D142" s="7" t="inlineStr">
        <is>
          <t>Pasar un evento a mensual</t>
        </is>
      </c>
      <c r="E142" s="7" t="inlineStr">
        <is>
          <t>Pasar un evento a mensual</t>
        </is>
      </c>
      <c r="F142" s="7" t="inlineStr">
        <is>
          <t>API levantada con WebApplicationFactory; sesión con el rol indicado en los pasos.</t>
        </is>
      </c>
      <c r="G142" s="7" t="inlineStr">
        <is>
          <t>SCRUM-16</t>
        </is>
      </c>
      <c r="H142" s="7" t="inlineStr">
        <is>
          <t>1. PUT con repeatsMonthly: true  →  204; el detalle informa repeatsMonthly</t>
        </is>
      </c>
      <c r="I142" s="7" t="inlineStr">
        <is>
          <t>Put_TurnsEventIntoMonthly_AndDetailReportsIt</t>
        </is>
      </c>
      <c r="J142" s="7" t="inlineStr">
        <is>
          <t>OK</t>
        </is>
      </c>
      <c r="K142" s="7" t="inlineStr">
        <is>
          <t>2026-10-14</t>
        </is>
      </c>
      <c r="L142" s="7" t="inlineStr">
        <is>
          <t>Suite automatizada</t>
        </is>
      </c>
      <c r="M142" s="7" t="inlineStr"/>
    </row>
    <row r="143">
      <c r="A143" s="7" t="inlineStr">
        <is>
          <t>TC-142</t>
        </is>
      </c>
      <c r="B143" s="7" t="inlineStr">
        <is>
          <t>Sprint 3</t>
        </is>
      </c>
      <c r="C143" s="7" t="inlineStr">
        <is>
          <t>Solapamiento como advertencia y motivo opcional (decisión del 2026-10-09)</t>
        </is>
      </c>
      <c r="D143" s="7" t="inlineStr">
        <is>
          <t>Guardar igual en el alta</t>
        </is>
      </c>
      <c r="E143" s="7" t="inlineStr">
        <is>
          <t>Guardar igual en el alta</t>
        </is>
      </c>
      <c r="F143" s="7" t="inlineStr">
        <is>
          <t>API levantada con WebApplicationFactory; sesión con el rol indicado en los pasos.</t>
        </is>
      </c>
      <c r="G143" s="7" t="inlineStr">
        <is>
          <t>SCRUM-74</t>
        </is>
      </c>
      <c r="H143" s="7" t="inlineStr">
        <is>
          <t>1. POST /api/casona-visits solapada con allowOverlap: true  →  201</t>
        </is>
      </c>
      <c r="I143" s="7" t="inlineStr">
        <is>
          <t>Post_OverlappingVisitWithAllowOverlap_Returns201</t>
        </is>
      </c>
      <c r="J143" s="7" t="inlineStr">
        <is>
          <t>OK</t>
        </is>
      </c>
      <c r="K143" s="7" t="inlineStr">
        <is>
          <t>2026-10-14</t>
        </is>
      </c>
      <c r="L143" s="7" t="inlineStr">
        <is>
          <t>Suite automatizada</t>
        </is>
      </c>
      <c r="M143" s="7" t="inlineStr"/>
    </row>
    <row r="144">
      <c r="A144" s="7" t="inlineStr">
        <is>
          <t>TC-143</t>
        </is>
      </c>
      <c r="B144" s="7" t="inlineStr">
        <is>
          <t>Sprint 3</t>
        </is>
      </c>
      <c r="C144" s="7" t="inlineStr">
        <is>
          <t>Solapamiento como advertencia y motivo opcional (decisión del 2026-10-09)</t>
        </is>
      </c>
      <c r="D144" s="7" t="inlineStr">
        <is>
          <t>Guardar igual en la edición</t>
        </is>
      </c>
      <c r="E144" s="7" t="inlineStr">
        <is>
          <t>Guardar igual en la edición</t>
        </is>
      </c>
      <c r="F144" s="7" t="inlineStr">
        <is>
          <t>API levantada con WebApplicationFactory; sesión con el rol indicado en los pasos.</t>
        </is>
      </c>
      <c r="G144" s="7" t="inlineStr">
        <is>
          <t>SCRUM-74</t>
        </is>
      </c>
      <c r="H144" s="7" t="inlineStr">
        <is>
          <t>1. PUT solapado: sin confirmar 409, con allowOverlap: true 204  →  409 y luego 204</t>
        </is>
      </c>
      <c r="I144" s="7" t="inlineStr">
        <is>
          <t>Put_OverlappingVisitWithAllowOverlap_Returns204</t>
        </is>
      </c>
      <c r="J144" s="7" t="inlineStr">
        <is>
          <t>OK</t>
        </is>
      </c>
      <c r="K144" s="7" t="inlineStr">
        <is>
          <t>2026-10-14</t>
        </is>
      </c>
      <c r="L144" s="7" t="inlineStr">
        <is>
          <t>Suite automatizada</t>
        </is>
      </c>
      <c r="M144" s="7" t="inlineStr"/>
    </row>
    <row r="145">
      <c r="A145" s="7" t="inlineStr">
        <is>
          <t>TC-144</t>
        </is>
      </c>
      <c r="B145" s="7" t="inlineStr">
        <is>
          <t>Sprint 3</t>
        </is>
      </c>
      <c r="C145" s="7" t="inlineStr">
        <is>
          <t>Solapamiento como advertencia y motivo opcional (decisión del 2026-10-09)</t>
        </is>
      </c>
      <c r="D145" s="7" t="inlineStr">
        <is>
          <t>Cancelar sin motivo</t>
        </is>
      </c>
      <c r="E145" s="7" t="inlineStr">
        <is>
          <t>Cancelar sin motivo</t>
        </is>
      </c>
      <c r="F145" s="7" t="inlineStr">
        <is>
          <t>API levantada con WebApplicationFactory; sesión con el rol indicado en los pasos.</t>
        </is>
      </c>
      <c r="G145" s="7" t="inlineStr">
        <is>
          <t>SCRUM-74</t>
        </is>
      </c>
      <c r="H145" s="7" t="inlineStr">
        <is>
          <t>1. PUT con estado Cancelada y sin motivo  →  204</t>
        </is>
      </c>
      <c r="I145" s="7" t="inlineStr">
        <is>
          <t>Put_CancelledWithoutReason_Returns204</t>
        </is>
      </c>
      <c r="J145" s="7" t="inlineStr">
        <is>
          <t>OK</t>
        </is>
      </c>
      <c r="K145" s="7" t="inlineStr">
        <is>
          <t>2026-10-14</t>
        </is>
      </c>
      <c r="L145" s="7" t="inlineStr">
        <is>
          <t>Suite automatizada</t>
        </is>
      </c>
      <c r="M145" s="7" t="inlineStr"/>
    </row>
    <row r="146">
      <c r="A146" s="7" t="inlineStr">
        <is>
          <t>TC-145</t>
        </is>
      </c>
      <c r="B146" s="7" t="inlineStr">
        <is>
          <t>Sprint 3</t>
        </is>
      </c>
      <c r="C146" s="7" t="inlineStr">
        <is>
          <t>QA de UI — frontend integrado (2026-10-08)</t>
        </is>
      </c>
      <c r="D146" s="7" t="inlineStr">
        <is>
          <t>Crear un evento mensual y verlo el mismo día del mes siguiente</t>
        </is>
      </c>
      <c r="E146" s="7" t="inlineStr">
        <is>
          <t>Crear un evento mensual y verlo el mismo día del mes siguiente</t>
        </is>
      </c>
      <c r="F146" s="7" t="inlineStr">
        <is>
          <t>Stack local levantado (docker compose en backend/); usuarios de prueba *@test.com.</t>
        </is>
      </c>
      <c r="G146" s="7" t="inlineStr">
        <is>
          <t>SCRUM-74</t>
        </is>
      </c>
      <c r="H146" s="7" t="inlineStr">
        <is>
          <t>1. Crear un evento mensual y verlo el mismo día del mes siguiente  →  El flujo se completa sin errores de API</t>
        </is>
      </c>
      <c r="I146" s="7" t="inlineStr">
        <is>
          <t>docs/qa/e2e/sprint3-ui-flows.mjs</t>
        </is>
      </c>
      <c r="J146" s="7" t="inlineStr">
        <is>
          <t>OK</t>
        </is>
      </c>
      <c r="K146" s="7" t="inlineStr">
        <is>
          <t>2026-10-14</t>
        </is>
      </c>
      <c r="L146" s="7" t="inlineStr">
        <is>
          <t>Mateo Pavoni</t>
        </is>
      </c>
      <c r="M146" s="7" t="inlineStr"/>
    </row>
    <row r="147">
      <c r="A147" s="7" t="inlineStr">
        <is>
          <t>TC-146</t>
        </is>
      </c>
      <c r="B147" s="7" t="inlineStr">
        <is>
          <t>Sprint 3</t>
        </is>
      </c>
      <c r="C147" s="7" t="inlineStr">
        <is>
          <t>QA de UI — frontend integrado (2026-10-08)</t>
        </is>
      </c>
      <c r="D147" s="7" t="inlineStr">
        <is>
          <t>Solapamiento de visitas: la UI avisa (409) y al tocar Guardar de nuevo la guarda igual</t>
        </is>
      </c>
      <c r="E147" s="7" t="inlineStr">
        <is>
          <t>Solapamiento de visitas: la UI avisa (409) y al tocar Guardar de nuevo la guarda igual</t>
        </is>
      </c>
      <c r="F147" s="7" t="inlineStr">
        <is>
          <t>Stack local levantado (docker compose en backend/); usuarios de prueba *@test.com.</t>
        </is>
      </c>
      <c r="G147" s="7" t="inlineStr">
        <is>
          <t>SCRUM-74</t>
        </is>
      </c>
      <c r="H147" s="7" t="inlineStr">
        <is>
          <t>1. Solapamiento de visitas: la UI avisa (409) y al tocar Guardar de nuevo la guarda igual  →  El flujo se completa sin errores de API</t>
        </is>
      </c>
      <c r="I147" s="7" t="inlineStr">
        <is>
          <t>docs/qa/e2e/sprint3-ui-flows.mjs</t>
        </is>
      </c>
      <c r="J147" s="7" t="inlineStr">
        <is>
          <t>OK</t>
        </is>
      </c>
      <c r="K147" s="7" t="inlineStr">
        <is>
          <t>2026-10-14</t>
        </is>
      </c>
      <c r="L147" s="7" t="inlineStr">
        <is>
          <t>Mateo Pavoni</t>
        </is>
      </c>
      <c r="M147" s="7" t="inlineStr"/>
    </row>
    <row r="148">
      <c r="A148" s="7" t="inlineStr">
        <is>
          <t>TC-147</t>
        </is>
      </c>
      <c r="B148" s="7" t="inlineStr">
        <is>
          <t>Sprint 4</t>
        </is>
      </c>
      <c r="C148" s="7" t="inlineStr">
        <is>
          <t>Registro de asistencia diaria (EP-10) (SCRUM-54)</t>
        </is>
      </c>
      <c r="D148" s="7" t="inlineStr">
        <is>
          <t>Registrar asistencia diaria de Hogar de día con personas con ficha</t>
        </is>
      </c>
      <c r="E148" s="7" t="inlineStr">
        <is>
          <t>Criterios 1 y 2: se registra asistencia por actividad marcando personas con ficha existente.</t>
        </is>
      </c>
      <c r="F148" s="7" t="inlineStr">
        <is>
          <t>Stack local levantado; usuarios de prueba *@test.com con los roles Referente, Directora, Coordinador y Escucha; sesión iniciada con el rol indicado en los pasos. Hay al menos 3 personas con ficha.</t>
        </is>
      </c>
      <c r="G148" s="7" t="inlineStr">
        <is>
          <t>SCRUM-54</t>
        </is>
      </c>
      <c r="H148" s="7" t="inlineStr">
        <is>
          <t>1. Ingresar como Referente y abrir la pantalla de asistencia diaria  →  Se muestra el registro del día con las actividades disponibles
2. Elegir la actividad Hogar de día y marcar 2 personas con ficha  →  Las personas quedan marcadas como presentes
3. Guardar la asistencia  →  Mensaje de éxito; al reabrir el día las 2 personas figuran presentes</t>
        </is>
      </c>
      <c r="I148" s="7" t="inlineStr"/>
      <c r="J148" s="7" t="inlineStr">
        <is>
          <t>Pendiente</t>
        </is>
      </c>
      <c r="K148" s="7" t="inlineStr"/>
      <c r="L148" s="7" t="inlineStr"/>
      <c r="M148" s="7" t="inlineStr">
        <is>
          <t>Sin desarrollo todavía (Sprint 4 activo desde 2026-10-09).</t>
        </is>
      </c>
    </row>
    <row r="149">
      <c r="A149" s="7" t="inlineStr">
        <is>
          <t>TC-148</t>
        </is>
      </c>
      <c r="B149" s="7" t="inlineStr">
        <is>
          <t>Sprint 4</t>
        </is>
      </c>
      <c r="C149" s="7" t="inlineStr">
        <is>
          <t>Registro de asistencia diaria (EP-10) (SCRUM-54)</t>
        </is>
      </c>
      <c r="D149" s="7" t="inlineStr">
        <is>
          <t>Registrar asistencia diaria de la Casona</t>
        </is>
      </c>
      <c r="E149" s="7" t="inlineStr">
        <is>
          <t>Criterio 1: la Casona tiene registro diario propio.</t>
        </is>
      </c>
      <c r="F149" s="7" t="inlineStr">
        <is>
          <t>Stack local levantado; usuarios de prueba *@test.com con los roles Referente, Directora, Coordinador y Escucha; sesión iniciada con el rol indicado en los pasos. Hay residentes de Casona con ficha.</t>
        </is>
      </c>
      <c r="G149" s="7" t="inlineStr">
        <is>
          <t>SCRUM-54</t>
        </is>
      </c>
      <c r="H149" s="7" t="inlineStr">
        <is>
          <t>1. Abrir la asistencia diaria y elegir la actividad Casona  →  Se listan las personas candidatas de Casona
2. Marcar a un residente y guardar  →  El residente figura presente en la Casona y no en el Hogar de día</t>
        </is>
      </c>
      <c r="I149" s="7" t="inlineStr"/>
      <c r="J149" s="7" t="inlineStr">
        <is>
          <t>Pendiente</t>
        </is>
      </c>
      <c r="K149" s="7" t="inlineStr"/>
      <c r="L149" s="7" t="inlineStr"/>
      <c r="M149" s="7" t="inlineStr">
        <is>
          <t>Sin desarrollo todavía (Sprint 4 activo desde 2026-10-09).</t>
        </is>
      </c>
    </row>
    <row r="150">
      <c r="A150" s="7" t="inlineStr">
        <is>
          <t>TC-149</t>
        </is>
      </c>
      <c r="B150" s="7" t="inlineStr">
        <is>
          <t>Sprint 4</t>
        </is>
      </c>
      <c r="C150" s="7" t="inlineStr">
        <is>
          <t>Registro de asistencia diaria (EP-10) (SCRUM-54)</t>
        </is>
      </c>
      <c r="D150" s="7" t="inlineStr">
        <is>
          <t>Registrar un conteo de personas sin ficha (anónimas)</t>
        </is>
      </c>
      <c r="E150" s="7" t="inlineStr">
        <is>
          <t>Criterio 3: además de las personas con ficha, se puede cargar un conteo de anónimos.</t>
        </is>
      </c>
      <c r="F150" s="7" t="inlineStr">
        <is>
          <t>Stack local levantado; usuarios de prueba *@test.com con los roles Referente, Directora, Coordinador y Escucha; sesión iniciada con el rol indicado en los pasos.</t>
        </is>
      </c>
      <c r="G150" s="7" t="inlineStr">
        <is>
          <t>SCRUM-54</t>
        </is>
      </c>
      <c r="H150" s="7" t="inlineStr">
        <is>
          <t>1. En la actividad Hogar de día cargar un conteo de personas sin ficha  →  El campo acepta el número
2. Guardar y reabrir el día  →  El conteo de 4 anónimos se conserva junto con las personas con ficha
3. Probar con una cantidad negativa  →  El sistema rechaza el valor con un mensaje de validación</t>
        </is>
      </c>
      <c r="I150" s="7" t="inlineStr"/>
      <c r="J150" s="7" t="inlineStr">
        <is>
          <t>Pendiente</t>
        </is>
      </c>
      <c r="K150" s="7" t="inlineStr"/>
      <c r="L150" s="7" t="inlineStr"/>
      <c r="M150" s="7" t="inlineStr">
        <is>
          <t>Sin desarrollo todavía (Sprint 4 activo desde 2026-10-09).</t>
        </is>
      </c>
    </row>
    <row r="151">
      <c r="A151" s="7" t="inlineStr">
        <is>
          <t>TC-150</t>
        </is>
      </c>
      <c r="B151" s="7" t="inlineStr">
        <is>
          <t>Sprint 4</t>
        </is>
      </c>
      <c r="C151" s="7" t="inlineStr">
        <is>
          <t>Registro de asistencia diaria (EP-10) (SCRUM-54)</t>
        </is>
      </c>
      <c r="D151" s="7" t="inlineStr">
        <is>
          <t>No permitir asistencia duplicada de la misma persona en la misma actividad y fecha</t>
        </is>
      </c>
      <c r="E151" s="7" t="inlineStr">
        <is>
          <t>Criterio 4: unicidad persona + actividad + fecha.</t>
        </is>
      </c>
      <c r="F151" s="7" t="inlineStr">
        <is>
          <t>Stack local levantado; usuarios de prueba *@test.com con los roles Referente, Directora, Coordinador y Escucha; sesión iniciada con el rol indicado en los pasos. Juan Pérez ya figura presente hoy en Hogar de día.</t>
        </is>
      </c>
      <c r="G151" s="7" t="inlineStr">
        <is>
          <t>SCRUM-54</t>
        </is>
      </c>
      <c r="H151" s="7" t="inlineStr">
        <is>
          <t>1. Intentar volver a registrar a Juan Pérez en Hogar de día para hoy  →  El sistema no crea un segundo registro y avisa que ya está registrado
2. Registrar a Juan Pérez en otra actividad del mismo día  →  Se permite (ver SCRUM-57)</t>
        </is>
      </c>
      <c r="I151" s="7" t="inlineStr"/>
      <c r="J151" s="7" t="inlineStr">
        <is>
          <t>Pendiente</t>
        </is>
      </c>
      <c r="K151" s="7" t="inlineStr"/>
      <c r="L151" s="7" t="inlineStr"/>
      <c r="M151" s="7" t="inlineStr">
        <is>
          <t>Sin desarrollo todavía (Sprint 4 activo desde 2026-10-09).</t>
        </is>
      </c>
    </row>
    <row r="152">
      <c r="A152" s="7" t="inlineStr">
        <is>
          <t>TC-151</t>
        </is>
      </c>
      <c r="B152" s="7" t="inlineStr">
        <is>
          <t>Sprint 4</t>
        </is>
      </c>
      <c r="C152" s="7" t="inlineStr">
        <is>
          <t>Registro de asistencia diaria (EP-10) (SCRUM-54)</t>
        </is>
      </c>
      <c r="D152" s="7" t="inlineStr">
        <is>
          <t>Guardar la asistencia genera la agenda de medicamentos del día</t>
        </is>
      </c>
      <c r="E152" s="7" t="inlineStr">
        <is>
          <t>Criterio 5: al guardar la asistencia se activa la generación de la agenda para esa fecha.</t>
        </is>
      </c>
      <c r="F152" s="7" t="inlineStr">
        <is>
          <t>Stack local levantado; usuarios de prueba *@test.com con los roles Referente, Directora, Coordinador y Escucha; sesión iniciada con el rol indicado en los pasos. Una persona con esquema de medicación activo.</t>
        </is>
      </c>
      <c r="G152" s="7" t="inlineStr">
        <is>
          <t>SCRUM-54</t>
        </is>
      </c>
      <c r="H152" s="7" t="inlineStr">
        <is>
          <t>1. Registrar como presente a la persona con medicación y guardar  →  Asistencia guardada
2. Abrir la agenda diaria de medicamentos  →  Aparecen las tomas de esa persona</t>
        </is>
      </c>
      <c r="I152" s="7" t="inlineStr"/>
      <c r="J152" s="7" t="inlineStr">
        <is>
          <t>Pendiente</t>
        </is>
      </c>
      <c r="K152" s="7" t="inlineStr"/>
      <c r="L152" s="7" t="inlineStr"/>
      <c r="M152" s="7" t="inlineStr">
        <is>
          <t>Sin desarrollo todavía (Sprint 4 activo desde 2026-10-09).</t>
        </is>
      </c>
    </row>
    <row r="153">
      <c r="A153" s="7" t="inlineStr">
        <is>
          <t>TC-152</t>
        </is>
      </c>
      <c r="B153" s="7" t="inlineStr">
        <is>
          <t>Sprint 4</t>
        </is>
      </c>
      <c r="C153" s="7" t="inlineStr">
        <is>
          <t>Registro de asistencia diaria (EP-10) (SCRUM-54)</t>
        </is>
      </c>
      <c r="D153" s="7" t="inlineStr">
        <is>
          <t>Modificar la asistencia de un día cerrado exige ser Referente y una justificación</t>
        </is>
      </c>
      <c r="E153" s="7" t="inlineStr">
        <is>
          <t>Criterio 6: solo un Referente puede corregir un día cerrado y debe justificarlo.</t>
        </is>
      </c>
      <c r="F153" s="7" t="inlineStr">
        <is>
          <t>Stack local levantado; usuarios de prueba *@test.com con los roles Referente, Directora, Coordinador y Escucha; sesión iniciada con el rol indicado en los pasos. Existe un día cerrado con asistencia cargada.</t>
        </is>
      </c>
      <c r="G153" s="7" t="inlineStr">
        <is>
          <t>SCRUM-54</t>
        </is>
      </c>
      <c r="H153" s="7" t="inlineStr">
        <is>
          <t>1. Ingresar como Referente, abrir el día cerrado y editar la asistencia  →  El sistema exige la justificación y no guarda
2. Repetir con una justificación  →  Se guarda el cambio y queda auditado (quién, cuándo, motivo)
3. Ingresar como Directora y repetir la edición  →  El sistema lo rechaza por permisos</t>
        </is>
      </c>
      <c r="I153" s="7" t="inlineStr"/>
      <c r="J153" s="7" t="inlineStr">
        <is>
          <t>Pendiente</t>
        </is>
      </c>
      <c r="K153" s="7" t="inlineStr"/>
      <c r="L153" s="7" t="inlineStr"/>
      <c r="M153" s="7" t="inlineStr">
        <is>
          <t>Sin desarrollo todavía (Sprint 4 activo desde 2026-10-09).</t>
        </is>
      </c>
    </row>
    <row r="154">
      <c r="A154" s="7" t="inlineStr">
        <is>
          <t>TC-153</t>
        </is>
      </c>
      <c r="B154" s="7" t="inlineStr">
        <is>
          <t>Sprint 4</t>
        </is>
      </c>
      <c r="C154" s="7" t="inlineStr">
        <is>
          <t>Historial de asistencia de una persona (EP-10) (SCRUM-55)</t>
        </is>
      </c>
      <c r="D154" s="7" t="inlineStr">
        <is>
          <t>Ver el historial de asistencia agrupado por actividad desde el perfil</t>
        </is>
      </c>
      <c r="E154" s="7" t="inlineStr">
        <is>
          <t>Criterios 1 y 5: el historial lista las fechas asistidas por actividad y se ve desde el perfil.</t>
        </is>
      </c>
      <c r="F154" s="7" t="inlineStr">
        <is>
          <t>Stack local levantado; usuarios de prueba *@test.com con los roles Referente, Directora, Coordinador y Escucha; sesión iniciada con el rol indicado en los pasos. Una persona con asistencias en distintas actividades.</t>
        </is>
      </c>
      <c r="G154" s="7" t="inlineStr">
        <is>
          <t>SCRUM-55</t>
        </is>
      </c>
      <c r="H154" s="7" t="inlineStr">
        <is>
          <t>1. Abrir el perfil de la persona y entrar a Asistencia  →  Se muestra el historial
2. Revisar la agrupación  →  Las fechas aparecen agrupadas por actividad</t>
        </is>
      </c>
      <c r="I154" s="7" t="inlineStr"/>
      <c r="J154" s="7" t="inlineStr">
        <is>
          <t>Pendiente</t>
        </is>
      </c>
      <c r="K154" s="7" t="inlineStr"/>
      <c r="L154" s="7" t="inlineStr"/>
      <c r="M154" s="7" t="inlineStr">
        <is>
          <t>Sin desarrollo todavía (Sprint 4 activo desde 2026-10-09).</t>
        </is>
      </c>
    </row>
    <row r="155">
      <c r="A155" s="7" t="inlineStr">
        <is>
          <t>TC-154</t>
        </is>
      </c>
      <c r="B155" s="7" t="inlineStr">
        <is>
          <t>Sprint 4</t>
        </is>
      </c>
      <c r="C155" s="7" t="inlineStr">
        <is>
          <t>Historial de asistencia de una persona (EP-10) (SCRUM-55)</t>
        </is>
      </c>
      <c r="D155" s="7" t="inlineStr">
        <is>
          <t>Filtrar el historial por actividad y por rango de fechas</t>
        </is>
      </c>
      <c r="E155" s="7" t="inlineStr">
        <is>
          <t>Criterio 2.</t>
        </is>
      </c>
      <c r="F155" s="7" t="inlineStr">
        <is>
          <t>Stack local levantado; usuarios de prueba *@test.com con los roles Referente, Directora, Coordinador y Escucha; sesión iniciada con el rol indicado en los pasos.</t>
        </is>
      </c>
      <c r="G155" s="7" t="inlineStr">
        <is>
          <t>SCRUM-55</t>
        </is>
      </c>
      <c r="H155" s="7" t="inlineStr">
        <is>
          <t>1. Filtrar por una actividad  →  Solo se ven fechas de esa actividad
2. Agregar un rango de fechas  →  Se acota al rango
3. Usar un rango invertido  →  El sistema muestra un mensaje de validación</t>
        </is>
      </c>
      <c r="I155" s="7" t="inlineStr"/>
      <c r="J155" s="7" t="inlineStr">
        <is>
          <t>Pendiente</t>
        </is>
      </c>
      <c r="K155" s="7" t="inlineStr"/>
      <c r="L155" s="7" t="inlineStr"/>
      <c r="M155" s="7" t="inlineStr">
        <is>
          <t>Sin desarrollo todavía (Sprint 4 activo desde 2026-10-09).</t>
        </is>
      </c>
    </row>
    <row r="156">
      <c r="A156" s="7" t="inlineStr">
        <is>
          <t>TC-155</t>
        </is>
      </c>
      <c r="B156" s="7" t="inlineStr">
        <is>
          <t>Sprint 4</t>
        </is>
      </c>
      <c r="C156" s="7" t="inlineStr">
        <is>
          <t>Historial de asistencia de una persona (EP-10) (SCRUM-55)</t>
        </is>
      </c>
      <c r="D156" s="7" t="inlineStr">
        <is>
          <t>Mostrar los indicadores: total de días, racha actual y última asistencia</t>
        </is>
      </c>
      <c r="E156" s="7" t="inlineStr">
        <is>
          <t>Criterio 3.</t>
        </is>
      </c>
      <c r="F156" s="7" t="inlineStr">
        <is>
          <t>Stack local levantado; usuarios de prueba *@test.com con los roles Referente, Directora, Coordinador y Escucha; sesión iniciada con el rol indicado en los pasos. Persona con 5 asistencias, las últimas 3 consecutivas.</t>
        </is>
      </c>
      <c r="G156" s="7" t="inlineStr">
        <is>
          <t>SCRUM-55</t>
        </is>
      </c>
      <c r="H156" s="7" t="inlineStr">
        <is>
          <t>1. Abrir el historial  →  Total de días = 5, racha actual = 3, última asistencia = fecha más reciente</t>
        </is>
      </c>
      <c r="I156" s="7" t="inlineStr"/>
      <c r="J156" s="7" t="inlineStr">
        <is>
          <t>Pendiente</t>
        </is>
      </c>
      <c r="K156" s="7" t="inlineStr"/>
      <c r="L156" s="7" t="inlineStr"/>
      <c r="M156" s="7" t="inlineStr">
        <is>
          <t>Sin desarrollo todavía (Sprint 4 activo desde 2026-10-09).</t>
        </is>
      </c>
    </row>
    <row r="157">
      <c r="A157" s="7" t="inlineStr">
        <is>
          <t>TC-156</t>
        </is>
      </c>
      <c r="B157" s="7" t="inlineStr">
        <is>
          <t>Sprint 4</t>
        </is>
      </c>
      <c r="C157" s="7" t="inlineStr">
        <is>
          <t>Historial de asistencia de una persona (EP-10) (SCRUM-55)</t>
        </is>
      </c>
      <c r="D157" s="7" t="inlineStr">
        <is>
          <t>Indicar visualmente a la persona con más de 7 días sin asistir</t>
        </is>
      </c>
      <c r="E157" s="7" t="inlineStr">
        <is>
          <t>Criterio 4.</t>
        </is>
      </c>
      <c r="F157" s="7" t="inlineStr">
        <is>
          <t>Stack local levantado; usuarios de prueba *@test.com con los roles Referente, Directora, Coordinador y Escucha; sesión iniciada con el rol indicado en los pasos. Persona cuya última asistencia fue hace 8 días y otra hace 6 días.</t>
        </is>
      </c>
      <c r="G157" s="7" t="inlineStr">
        <is>
          <t>SCRUM-55</t>
        </is>
      </c>
      <c r="H157" s="7" t="inlineStr">
        <is>
          <t>1. Abrir el perfil de la persona con 8 días sin asistir  →  Se muestra el aviso de inasistencia
2. Abrir el perfil de la persona con 6 días  →  No se muestra el aviso</t>
        </is>
      </c>
      <c r="I157" s="7" t="inlineStr"/>
      <c r="J157" s="7" t="inlineStr">
        <is>
          <t>Pendiente</t>
        </is>
      </c>
      <c r="K157" s="7" t="inlineStr"/>
      <c r="L157" s="7" t="inlineStr"/>
      <c r="M157" s="7" t="inlineStr">
        <is>
          <t>Sin desarrollo todavía (Sprint 4 activo desde 2026-10-09).</t>
        </is>
      </c>
    </row>
    <row r="158">
      <c r="A158" s="7" t="inlineStr">
        <is>
          <t>TC-157</t>
        </is>
      </c>
      <c r="B158" s="7" t="inlineStr">
        <is>
          <t>Sprint 4</t>
        </is>
      </c>
      <c r="C158" s="7" t="inlineStr">
        <is>
          <t>Historial de asistencia de una persona (EP-10) (SCRUM-55)</t>
        </is>
      </c>
      <c r="D158" s="7" t="inlineStr">
        <is>
          <t>La Directora de Casona solo ve el historial de residentes de Casona</t>
        </is>
      </c>
      <c r="E158" s="7" t="inlineStr">
        <is>
          <t>Criterio 6.</t>
        </is>
      </c>
      <c r="F158" s="7" t="inlineStr">
        <is>
          <t>Stack local levantado; usuarios de prueba *@test.com con los roles Referente, Directora, Coordinador y Escucha; sesión iniciada con el rol indicado en los pasos.</t>
        </is>
      </c>
      <c r="G158" s="7" t="inlineStr">
        <is>
          <t>SCRUM-55</t>
        </is>
      </c>
      <c r="H158" s="7" t="inlineStr">
        <is>
          <t>1. Ingresar como Directora y abrir el historial de un residente de Casona  →  Se muestra el historial
2. Intentar abrir el historial de una persona que no es de Casona  →  El sistema niega el acceso o no lo muestra</t>
        </is>
      </c>
      <c r="I158" s="7" t="inlineStr"/>
      <c r="J158" s="7" t="inlineStr">
        <is>
          <t>Pendiente</t>
        </is>
      </c>
      <c r="K158" s="7" t="inlineStr"/>
      <c r="L158" s="7" t="inlineStr"/>
      <c r="M158" s="7" t="inlineStr">
        <is>
          <t>Sin desarrollo todavía (Sprint 4 activo desde 2026-10-09).</t>
        </is>
      </c>
    </row>
    <row r="159">
      <c r="A159" s="7" t="inlineStr">
        <is>
          <t>TC-158</t>
        </is>
      </c>
      <c r="B159" s="7" t="inlineStr">
        <is>
          <t>Sprint 4</t>
        </is>
      </c>
      <c r="C159" s="7" t="inlineStr">
        <is>
          <t>Estadísticas de asistencia (EP-10) (SCRUM-56)</t>
        </is>
      </c>
      <c r="D159" s="7" t="inlineStr">
        <is>
          <t>Ver las estadísticas generales de asistencia</t>
        </is>
      </c>
      <c r="E159" s="7" t="inlineStr">
        <is>
          <t>Criterio 1: promedio diario semanal/mensual, asistencia por actividad y comparativa.</t>
        </is>
      </c>
      <c r="F159" s="7" t="inlineStr">
        <is>
          <t>Stack local levantado; usuarios de prueba *@test.com con los roles Referente, Directora, Coordinador y Escucha; sesión iniciada con el rol indicado en los pasos. Asistencias cargadas durante al menos 4 semanas.</t>
        </is>
      </c>
      <c r="G159" s="7" t="inlineStr">
        <is>
          <t>SCRUM-56</t>
        </is>
      </c>
      <c r="H159" s="7" t="inlineStr">
        <is>
          <t>1. Ingresar como Referente y abrir Estadísticas de asistencia  →  Se muestran personas por día (promedio semanal y mensual), asistencia por actividad y la comparativa entre actividades
2. Revisar el formato  →  Los datos se ven en barras o números destacados</t>
        </is>
      </c>
      <c r="I159" s="7" t="inlineStr"/>
      <c r="J159" s="7" t="inlineStr">
        <is>
          <t>Pendiente</t>
        </is>
      </c>
      <c r="K159" s="7" t="inlineStr"/>
      <c r="L159" s="7" t="inlineStr"/>
      <c r="M159" s="7" t="inlineStr">
        <is>
          <t>Sin desarrollo todavía (Sprint 4 activo desde 2026-10-09).</t>
        </is>
      </c>
    </row>
    <row r="160">
      <c r="A160" s="7" t="inlineStr">
        <is>
          <t>TC-159</t>
        </is>
      </c>
      <c r="B160" s="7" t="inlineStr">
        <is>
          <t>Sprint 4</t>
        </is>
      </c>
      <c r="C160" s="7" t="inlineStr">
        <is>
          <t>Estadísticas de asistencia (EP-10) (SCRUM-56)</t>
        </is>
      </c>
      <c r="D160" s="7" t="inlineStr">
        <is>
          <t>Filtrar las estadísticas por rango de fechas y actividad</t>
        </is>
      </c>
      <c r="E160" s="7" t="inlineStr">
        <is>
          <t>Criterio 2.</t>
        </is>
      </c>
      <c r="F160" s="7" t="inlineStr">
        <is>
          <t>Stack local levantado; usuarios de prueba *@test.com con los roles Referente, Directora, Coordinador y Escucha; sesión iniciada con el rol indicado en los pasos.</t>
        </is>
      </c>
      <c r="G160" s="7" t="inlineStr">
        <is>
          <t>SCRUM-56</t>
        </is>
      </c>
      <c r="H160" s="7" t="inlineStr">
        <is>
          <t>1. Aplicar un rango de fechas  →  Los números se recalculan para el rango
2. Aplicar el filtro de actividad  →  Solo cuenta esa actividad</t>
        </is>
      </c>
      <c r="I160" s="7" t="inlineStr"/>
      <c r="J160" s="7" t="inlineStr">
        <is>
          <t>Pendiente</t>
        </is>
      </c>
      <c r="K160" s="7" t="inlineStr"/>
      <c r="L160" s="7" t="inlineStr"/>
      <c r="M160" s="7" t="inlineStr">
        <is>
          <t>Sin desarrollo todavía (Sprint 4 activo desde 2026-10-09).</t>
        </is>
      </c>
    </row>
    <row r="161">
      <c r="A161" s="7" t="inlineStr">
        <is>
          <t>TC-160</t>
        </is>
      </c>
      <c r="B161" s="7" t="inlineStr">
        <is>
          <t>Sprint 4</t>
        </is>
      </c>
      <c r="C161" s="7" t="inlineStr">
        <is>
          <t>Estadísticas de asistencia (EP-10) (SCRUM-56)</t>
        </is>
      </c>
      <c r="D161" s="7" t="inlineStr">
        <is>
          <t>Identificar personas que dejaron de asistir hace más de 14 días</t>
        </is>
      </c>
      <c r="E161" s="7" t="inlineStr">
        <is>
          <t>Criterio 3.</t>
        </is>
      </c>
      <c r="F161" s="7" t="inlineStr">
        <is>
          <t>Stack local levantado; usuarios de prueba *@test.com con los roles Referente, Directora, Coordinador y Escucha; sesión iniciada con el rol indicado en los pasos. Una persona con última asistencia hace 15 días y otra hace 13.</t>
        </is>
      </c>
      <c r="G161" s="7" t="inlineStr">
        <is>
          <t>SCRUM-56</t>
        </is>
      </c>
      <c r="H161" s="7" t="inlineStr">
        <is>
          <t>1. Abrir la sección de inactividad  →  Aparece solo la persona con más de 14 días sin asistir</t>
        </is>
      </c>
      <c r="I161" s="7" t="inlineStr"/>
      <c r="J161" s="7" t="inlineStr">
        <is>
          <t>Pendiente</t>
        </is>
      </c>
      <c r="K161" s="7" t="inlineStr"/>
      <c r="L161" s="7" t="inlineStr"/>
      <c r="M161" s="7" t="inlineStr">
        <is>
          <t>Sin desarrollo todavía (Sprint 4 activo desde 2026-10-09).</t>
        </is>
      </c>
    </row>
    <row r="162">
      <c r="A162" s="7" t="inlineStr">
        <is>
          <t>TC-161</t>
        </is>
      </c>
      <c r="B162" s="7" t="inlineStr">
        <is>
          <t>Sprint 4</t>
        </is>
      </c>
      <c r="C162" s="7" t="inlineStr">
        <is>
          <t>Estadísticas de asistencia (EP-10) (SCRUM-56)</t>
        </is>
      </c>
      <c r="D162" s="7" t="inlineStr">
        <is>
          <t>Las estadísticas son accesibles solo para Referentes</t>
        </is>
      </c>
      <c r="E162" s="7" t="inlineStr">
        <is>
          <t>Criterio 5.</t>
        </is>
      </c>
      <c r="F162" s="7" t="inlineStr">
        <is>
          <t>Stack local levantado; usuarios de prueba *@test.com con los roles Referente, Directora, Coordinador y Escucha; sesión iniciada con el rol indicado en los pasos.</t>
        </is>
      </c>
      <c r="G162" s="7" t="inlineStr">
        <is>
          <t>SCRUM-56</t>
        </is>
      </c>
      <c r="H162" s="7" t="inlineStr">
        <is>
          <t>1. Ingresar como Directora, Coordinador y Escucha e intentar abrir Estadísticas  →  No se muestra la opción y el acceso por URL se rechaza</t>
        </is>
      </c>
      <c r="I162" s="7" t="inlineStr"/>
      <c r="J162" s="7" t="inlineStr">
        <is>
          <t>Pendiente</t>
        </is>
      </c>
      <c r="K162" s="7" t="inlineStr"/>
      <c r="L162" s="7" t="inlineStr"/>
      <c r="M162" s="7" t="inlineStr">
        <is>
          <t>Sin desarrollo todavía (Sprint 4 activo desde 2026-10-09).</t>
        </is>
      </c>
    </row>
    <row r="163">
      <c r="A163" s="7" t="inlineStr">
        <is>
          <t>TC-162</t>
        </is>
      </c>
      <c r="B163" s="7" t="inlineStr">
        <is>
          <t>Sprint 4</t>
        </is>
      </c>
      <c r="C163" s="7" t="inlineStr">
        <is>
          <t>Estadísticas de asistencia (EP-10) (SCRUM-56)</t>
        </is>
      </c>
      <c r="D163" s="7" t="inlineStr">
        <is>
          <t>Exportar el resumen mensual de asistencia a PDF</t>
        </is>
      </c>
      <c r="E163" s="7" t="inlineStr">
        <is>
          <t>Criterio 6.</t>
        </is>
      </c>
      <c r="F163" s="7" t="inlineStr">
        <is>
          <t>Stack local levantado; usuarios de prueba *@test.com con los roles Referente, Directora, Coordinador y Escucha; sesión iniciada con el rol indicado en los pasos.</t>
        </is>
      </c>
      <c r="G163" s="7" t="inlineStr">
        <is>
          <t>SCRUM-56</t>
        </is>
      </c>
      <c r="H163" s="7" t="inlineStr">
        <is>
          <t>1. Elegir un mes y exportar a PDF  →  Se descarga un PDF con el resumen del mes
2. Exportar un mes sin datos  →  El sistema avisa que no hay datos o genera el PDF vacío sin error</t>
        </is>
      </c>
      <c r="I163" s="7" t="inlineStr"/>
      <c r="J163" s="7" t="inlineStr">
        <is>
          <t>Pendiente</t>
        </is>
      </c>
      <c r="K163" s="7" t="inlineStr"/>
      <c r="L163" s="7" t="inlineStr"/>
      <c r="M163" s="7" t="inlineStr">
        <is>
          <t>Sin desarrollo todavía (Sprint 4 activo desde 2026-10-09).</t>
        </is>
      </c>
    </row>
    <row r="164">
      <c r="A164" s="7" t="inlineStr">
        <is>
          <t>TC-163</t>
        </is>
      </c>
      <c r="B164" s="7" t="inlineStr">
        <is>
          <t>Sprint 4</t>
        </is>
      </c>
      <c r="C164" s="7" t="inlineStr">
        <is>
          <t>Asistencia por actividad (EP-10) (SCRUM-57)</t>
        </is>
      </c>
      <c r="D164" s="7" t="inlineStr">
        <is>
          <t>Las actividades recurrentes del calendario aparecen en el registro de asistencia</t>
        </is>
      </c>
      <c r="E164" s="7" t="inlineStr">
        <is>
          <t>Criterio 1: merendero y grupos se sincronizan desde el calendario.</t>
        </is>
      </c>
      <c r="F164" s="7" t="inlineStr">
        <is>
          <t>Stack local levantado; usuarios de prueba *@test.com con los roles Referente, Directora, Coordinador y Escucha; sesión iniciada con el rol indicado en los pasos. Un evento recurrente "Merendero" en el calendario general.</t>
        </is>
      </c>
      <c r="G164" s="7" t="inlineStr">
        <is>
          <t>SCRUM-57</t>
        </is>
      </c>
      <c r="H164" s="7" t="inlineStr">
        <is>
          <t>1. Abrir el registro de asistencia de un día en que corresponde el merendero  →  El merendero está disponible como actividad
2. Crear un grupo recurrente nuevo en el calendario y volver al registro  →  El grupo aparece sin cargarlo a mano</t>
        </is>
      </c>
      <c r="I164" s="7" t="inlineStr"/>
      <c r="J164" s="7" t="inlineStr">
        <is>
          <t>Pendiente</t>
        </is>
      </c>
      <c r="K164" s="7" t="inlineStr"/>
      <c r="L164" s="7" t="inlineStr"/>
      <c r="M164" s="7" t="inlineStr">
        <is>
          <t>Sin desarrollo todavía (Sprint 4 activo desde 2026-10-09).</t>
        </is>
      </c>
    </row>
    <row r="165">
      <c r="A165" s="7" t="inlineStr">
        <is>
          <t>TC-164</t>
        </is>
      </c>
      <c r="B165" s="7" t="inlineStr">
        <is>
          <t>Sprint 4</t>
        </is>
      </c>
      <c r="C165" s="7" t="inlineStr">
        <is>
          <t>Asistencia por actividad (EP-10) (SCRUM-57)</t>
        </is>
      </c>
      <c r="D165" s="7" t="inlineStr">
        <is>
          <t>Registrar a la misma persona en varias actividades del mismo día</t>
        </is>
      </c>
      <c r="E165" s="7" t="inlineStr">
        <is>
          <t>Criterio 2.</t>
        </is>
      </c>
      <c r="F165" s="7" t="inlineStr">
        <is>
          <t>Stack local levantado; usuarios de prueba *@test.com con los roles Referente, Directora, Coordinador y Escucha; sesión iniciada con el rol indicado en los pasos.</t>
        </is>
      </c>
      <c r="G165" s="7" t="inlineStr">
        <is>
          <t>SCRUM-57</t>
        </is>
      </c>
      <c r="H165" s="7" t="inlineStr">
        <is>
          <t>1. Marcar a una persona en Hogar de día y en Merendero el mismo día  →  Ambos registros se guardan</t>
        </is>
      </c>
      <c r="I165" s="7" t="inlineStr"/>
      <c r="J165" s="7" t="inlineStr">
        <is>
          <t>Pendiente</t>
        </is>
      </c>
      <c r="K165" s="7" t="inlineStr"/>
      <c r="L165" s="7" t="inlineStr"/>
      <c r="M165" s="7" t="inlineStr">
        <is>
          <t>Sin desarrollo todavía (Sprint 4 activo desde 2026-10-09).</t>
        </is>
      </c>
    </row>
    <row r="166">
      <c r="A166" s="7" t="inlineStr">
        <is>
          <t>TC-165</t>
        </is>
      </c>
      <c r="B166" s="7" t="inlineStr">
        <is>
          <t>Sprint 4</t>
        </is>
      </c>
      <c r="C166" s="7" t="inlineStr">
        <is>
          <t>Asistencia por actividad (EP-10) (SCRUM-57)</t>
        </is>
      </c>
      <c r="D166" s="7" t="inlineStr">
        <is>
          <t>Los referentes configuran las actividades disponibles</t>
        </is>
      </c>
      <c r="E166" s="7" t="inlineStr">
        <is>
          <t>Criterio 3.</t>
        </is>
      </c>
      <c r="F166" s="7" t="inlineStr">
        <is>
          <t>Stack local levantado; usuarios de prueba *@test.com con los roles Referente, Directora, Coordinador y Escucha; sesión iniciada con el rol indicado en los pasos.</t>
        </is>
      </c>
      <c r="G166" s="7" t="inlineStr">
        <is>
          <t>SCRUM-57</t>
        </is>
      </c>
      <c r="H166" s="7" t="inlineStr">
        <is>
          <t>1. Como Referente, agregar, editar y desactivar una actividad  →  Los cambios se reflejan en el registro de asistencia
2. Intentarlo como Escucha  →  El sistema lo rechaza</t>
        </is>
      </c>
      <c r="I166" s="7" t="inlineStr"/>
      <c r="J166" s="7" t="inlineStr">
        <is>
          <t>Pendiente</t>
        </is>
      </c>
      <c r="K166" s="7" t="inlineStr"/>
      <c r="L166" s="7" t="inlineStr"/>
      <c r="M166" s="7" t="inlineStr">
        <is>
          <t>Sin desarrollo todavía (Sprint 4 activo desde 2026-10-09).</t>
        </is>
      </c>
    </row>
    <row r="167">
      <c r="A167" s="7" t="inlineStr">
        <is>
          <t>TC-166</t>
        </is>
      </c>
      <c r="B167" s="7" t="inlineStr">
        <is>
          <t>Sprint 4</t>
        </is>
      </c>
      <c r="C167" s="7" t="inlineStr">
        <is>
          <t>Asistencia por actividad (EP-10) (SCRUM-57)</t>
        </is>
      </c>
      <c r="D167" s="7" t="inlineStr">
        <is>
          <t>La asistencia de la Casona es diaria y separada del Hogar de día</t>
        </is>
      </c>
      <c r="E167" s="7" t="inlineStr">
        <is>
          <t>Criterio 4.</t>
        </is>
      </c>
      <c r="F167" s="7" t="inlineStr">
        <is>
          <t>Stack local levantado; usuarios de prueba *@test.com con los roles Referente, Directora, Coordinador y Escucha; sesión iniciada con el rol indicado en los pasos.</t>
        </is>
      </c>
      <c r="G167" s="7" t="inlineStr">
        <is>
          <t>SCRUM-57</t>
        </is>
      </c>
      <c r="H167" s="7" t="inlineStr">
        <is>
          <t>1. Registrar asistencia de Casona y de Hogar de día para el mismo día  →  Cada registro queda separado y las estadísticas no los mezclan</t>
        </is>
      </c>
      <c r="I167" s="7" t="inlineStr"/>
      <c r="J167" s="7" t="inlineStr">
        <is>
          <t>Pendiente</t>
        </is>
      </c>
      <c r="K167" s="7" t="inlineStr"/>
      <c r="L167" s="7" t="inlineStr"/>
      <c r="M167" s="7" t="inlineStr">
        <is>
          <t>Sin desarrollo todavía (Sprint 4 activo desde 2026-10-09).</t>
        </is>
      </c>
    </row>
    <row r="168">
      <c r="A168" s="7" t="inlineStr">
        <is>
          <t>TC-167</t>
        </is>
      </c>
      <c r="B168" s="7" t="inlineStr">
        <is>
          <t>Sprint 4</t>
        </is>
      </c>
      <c r="C168" s="7" t="inlineStr">
        <is>
          <t>Esquema de medicación (Medicación) (SCRUM-59)</t>
        </is>
      </c>
      <c r="D168" s="7" t="inlineStr">
        <is>
          <t>Cargar un medicamento del catálogo con dosis y hora</t>
        </is>
      </c>
      <c r="E168" s="7" t="inlineStr">
        <is>
          <t>Criterios 1 y 3.</t>
        </is>
      </c>
      <c r="F168" s="7" t="inlineStr">
        <is>
          <t>Stack local levantado; usuarios de prueba *@test.com con los roles Referente, Directora, Coordinador y Escucha; sesión iniciada con el rol indicado en los pasos. Persona con evaluación psiquiátrica vigente; catálogo con Risperdal.</t>
        </is>
      </c>
      <c r="G168" s="7" t="inlineStr">
        <is>
          <t>SCRUM-59</t>
        </is>
      </c>
      <c r="H168" s="7" t="inlineStr">
        <is>
          <t>1. Abrir el esquema de medicación de la persona y agregar un medicamento  →  El esquema se guarda con medicamento, dosis, hora y fecha de carga</t>
        </is>
      </c>
      <c r="I168" s="7" t="inlineStr"/>
      <c r="J168" s="7" t="inlineStr">
        <is>
          <t>Pendiente</t>
        </is>
      </c>
      <c r="K168" s="7" t="inlineStr"/>
      <c r="L168" s="7" t="inlineStr"/>
      <c r="M168" s="7" t="inlineStr">
        <is>
          <t>Backend (SCRUM-232) cubierto por tests automatizados; falta probar el formulario de punta a punta: hoy usa datos simulados.</t>
        </is>
      </c>
    </row>
    <row r="169">
      <c r="A169" s="7" t="inlineStr">
        <is>
          <t>TC-168</t>
        </is>
      </c>
      <c r="B169" s="7" t="inlineStr">
        <is>
          <t>Sprint 4</t>
        </is>
      </c>
      <c r="C169" s="7" t="inlineStr">
        <is>
          <t>Esquema de medicación (Medicación) (SCRUM-59)</t>
        </is>
      </c>
      <c r="D169" s="7" t="inlineStr">
        <is>
          <t>No permitir medicamentos fuera del catálogo</t>
        </is>
      </c>
      <c r="E169" s="7" t="inlineStr">
        <is>
          <t>Criterio 1.</t>
        </is>
      </c>
      <c r="F169" s="7" t="inlineStr">
        <is>
          <t>Stack local levantado; usuarios de prueba *@test.com con los roles Referente, Directora, Coordinador y Escucha; sesión iniciada con el rol indicado en los pasos.</t>
        </is>
      </c>
      <c r="G169" s="7" t="inlineStr">
        <is>
          <t>SCRUM-59</t>
        </is>
      </c>
      <c r="H169" s="7" t="inlineStr">
        <is>
          <t>1. Intentar cargar un medicamento que no está en el catálogo  →  El sistema solo permite elegir del catálogo</t>
        </is>
      </c>
      <c r="I169" s="7" t="inlineStr"/>
      <c r="J169" s="7" t="inlineStr">
        <is>
          <t>Pendiente</t>
        </is>
      </c>
      <c r="K169" s="7" t="inlineStr"/>
      <c r="L169" s="7" t="inlineStr"/>
      <c r="M169" s="7" t="inlineStr">
        <is>
          <t>Backend (SCRUM-232) cubierto por tests automatizados; falta probar el formulario de punta a punta: hoy usa datos simulados.</t>
        </is>
      </c>
    </row>
    <row r="170">
      <c r="A170" s="7" t="inlineStr">
        <is>
          <t>TC-169</t>
        </is>
      </c>
      <c r="B170" s="7" t="inlineStr">
        <is>
          <t>Sprint 4</t>
        </is>
      </c>
      <c r="C170" s="7" t="inlineStr">
        <is>
          <t>Esquema de medicación (Medicación) (SCRUM-59)</t>
        </is>
      </c>
      <c r="D170" s="7" t="inlineStr">
        <is>
          <t>Bloquear la carga sin evaluación psiquiátrica vigente</t>
        </is>
      </c>
      <c r="E170" s="7" t="inlineStr">
        <is>
          <t>Criterio 2.</t>
        </is>
      </c>
      <c r="F170" s="7" t="inlineStr">
        <is>
          <t>Stack local levantado; usuarios de prueba *@test.com con los roles Referente, Directora, Coordinador y Escucha; sesión iniciada con el rol indicado en los pasos. Persona sin evaluación psiquiátrica.</t>
        </is>
      </c>
      <c r="G170" s="7" t="inlineStr">
        <is>
          <t>SCRUM-59</t>
        </is>
      </c>
      <c r="H170" s="7" t="inlineStr">
        <is>
          <t>1. Intentar agregar un medicamento  →  El sistema bloquea la carga e indica el motivo</t>
        </is>
      </c>
      <c r="I170" s="7" t="inlineStr"/>
      <c r="J170" s="7" t="inlineStr">
        <is>
          <t>Pendiente</t>
        </is>
      </c>
      <c r="K170" s="7" t="inlineStr"/>
      <c r="L170" s="7" t="inlineStr"/>
      <c r="M170" s="7" t="inlineStr">
        <is>
          <t>Backend (SCRUM-232) cubierto por tests automatizados; falta probar el formulario de punta a punta: hoy usa datos simulados.</t>
        </is>
      </c>
    </row>
    <row r="171">
      <c r="A171" s="7" t="inlineStr">
        <is>
          <t>TC-170</t>
        </is>
      </c>
      <c r="B171" s="7" t="inlineStr">
        <is>
          <t>Sprint 4</t>
        </is>
      </c>
      <c r="C171" s="7" t="inlineStr">
        <is>
          <t>Esquema de medicación (Medicación) (SCRUM-59)</t>
        </is>
      </c>
      <c r="D171" s="7" t="inlineStr">
        <is>
          <t>Stock en 0: alertar y marcar el medicamento como pendiente de stock</t>
        </is>
      </c>
      <c r="E171" s="7" t="inlineStr">
        <is>
          <t>Criterios 5 y 6.</t>
        </is>
      </c>
      <c r="F171" s="7" t="inlineStr">
        <is>
          <t>Stack local levantado; usuarios de prueba *@test.com con los roles Referente, Directora, Coordinador y Escucha; sesión iniciada con el rol indicado en los pasos. Medicamento con stock 0 en farmacia.</t>
        </is>
      </c>
      <c r="G171" s="7" t="inlineStr">
        <is>
          <t>SCRUM-59</t>
        </is>
      </c>
      <c r="H171" s="7" t="inlineStr">
        <is>
          <t>1. Cargar el esquema con ese medicamento  →  Se muestra la alerta, se permite guardar y el medicamento queda marcado como pendiente de stock
2. Abrir la agenda diaria  →  Ese medicamento no se incluye como toma disponible</t>
        </is>
      </c>
      <c r="I171" s="7" t="inlineStr"/>
      <c r="J171" s="7" t="inlineStr">
        <is>
          <t>Pendiente</t>
        </is>
      </c>
      <c r="K171" s="7" t="inlineStr"/>
      <c r="L171" s="7" t="inlineStr"/>
      <c r="M171" s="7" t="inlineStr">
        <is>
          <t>Backend (SCRUM-232) cubierto por tests automatizados; falta probar el formulario de punta a punta: hoy usa datos simulados.</t>
        </is>
      </c>
    </row>
    <row r="172">
      <c r="A172" s="7" t="inlineStr">
        <is>
          <t>TC-171</t>
        </is>
      </c>
      <c r="B172" s="7" t="inlineStr">
        <is>
          <t>Sprint 4</t>
        </is>
      </c>
      <c r="C172" s="7" t="inlineStr">
        <is>
          <t>Esquema de medicación (Medicación) (SCRUM-59)</t>
        </is>
      </c>
      <c r="D172" s="7" t="inlineStr">
        <is>
          <t>Registrar quién cargó el esquema y cuándo</t>
        </is>
      </c>
      <c r="E172" s="7" t="inlineStr">
        <is>
          <t>Criterio 7.</t>
        </is>
      </c>
      <c r="F172" s="7" t="inlineStr">
        <is>
          <t>Stack local levantado; usuarios de prueba *@test.com con los roles Referente, Directora, Coordinador y Escucha; sesión iniciada con el rol indicado en los pasos.</t>
        </is>
      </c>
      <c r="G172" s="7" t="inlineStr">
        <is>
          <t>SCRUM-59</t>
        </is>
      </c>
      <c r="H172" s="7" t="inlineStr">
        <is>
          <t>1. Cargar un medicamento y consultar el detalle o la auditoría  →  Figuran el usuario y la fecha y hora de la carga</t>
        </is>
      </c>
      <c r="I172" s="7" t="inlineStr"/>
      <c r="J172" s="7" t="inlineStr">
        <is>
          <t>Pendiente</t>
        </is>
      </c>
      <c r="K172" s="7" t="inlineStr"/>
      <c r="L172" s="7" t="inlineStr"/>
      <c r="M172" s="7" t="inlineStr">
        <is>
          <t>Backend (SCRUM-232) cubierto por tests automatizados; falta probar el formulario de punta a punta: hoy usa datos simulados.</t>
        </is>
      </c>
    </row>
    <row r="173">
      <c r="A173" s="7" t="inlineStr">
        <is>
          <t>TC-172</t>
        </is>
      </c>
      <c r="B173" s="7" t="inlineStr">
        <is>
          <t>Sprint 4</t>
        </is>
      </c>
      <c r="C173" s="7" t="inlineStr">
        <is>
          <t>Esquema de medicación (Medicación) (SCRUM-59)</t>
        </is>
      </c>
      <c r="D173" s="7" t="inlineStr">
        <is>
          <t>Visibilidad del esquema según el rol</t>
        </is>
      </c>
      <c r="E173" s="7" t="inlineStr">
        <is>
          <t>Criterio 8: visible para Referente, Directora y Coordinador; no para Escucha.</t>
        </is>
      </c>
      <c r="F173" s="7" t="inlineStr">
        <is>
          <t>Stack local levantado; usuarios de prueba *@test.com con los roles Referente, Directora, Coordinador y Escucha; sesión iniciada con el rol indicado en los pasos. Persona con esquema cargado.</t>
        </is>
      </c>
      <c r="G173" s="7" t="inlineStr">
        <is>
          <t>SCRUM-59</t>
        </is>
      </c>
      <c r="H173" s="7" t="inlineStr">
        <is>
          <t>1. Abrir el esquema como Referente, Directora y Coordinador  →  Se ve en los tres casos
2. Abrirlo como Escucha  →  No se muestra la sección y el acceso por API responde 403</t>
        </is>
      </c>
      <c r="I173" s="7" t="inlineStr"/>
      <c r="J173" s="7" t="inlineStr">
        <is>
          <t>Pendiente</t>
        </is>
      </c>
      <c r="K173" s="7" t="inlineStr"/>
      <c r="L173" s="7" t="inlineStr"/>
      <c r="M173" s="7" t="inlineStr">
        <is>
          <t>Backend (SCRUM-232) cubierto por tests automatizados; falta probar el formulario de punta a punta: hoy usa datos simulados.</t>
        </is>
      </c>
    </row>
    <row r="174">
      <c r="A174" s="7" t="inlineStr">
        <is>
          <t>TC-173</t>
        </is>
      </c>
      <c r="B174" s="7" t="inlineStr">
        <is>
          <t>Sprint 4</t>
        </is>
      </c>
      <c r="C174" s="7" t="inlineStr">
        <is>
          <t>Agenda diaria de medicamentos (Medicación) (SCRUM-60)</t>
        </is>
      </c>
      <c r="D174" s="7" t="inlineStr">
        <is>
          <t>La agenda se genera al registrar la asistencia y agrupa las tomas por hora</t>
        </is>
      </c>
      <c r="E174" s="7" t="inlineStr">
        <is>
          <t>Criterios 1 y 2.</t>
        </is>
      </c>
      <c r="F174" s="7" t="inlineStr">
        <is>
          <t>Stack local levantado; usuarios de prueba *@test.com con los roles Referente, Directora, Coordinador y Escucha; sesión iniciada con el rol indicado en los pasos. Juan Pérez (Risperdal 2 mg 08:00) y José Reyes (Vitamina D 500 mg 08:00) presentes hoy.</t>
        </is>
      </c>
      <c r="G174" s="7" t="inlineStr">
        <is>
          <t>SCRUM-60</t>
        </is>
      </c>
      <c r="H174" s="7" t="inlineStr">
        <is>
          <t>1. Abrir la agenda diaria  →  Bajo 08:00 figuran Juan Pérez: Risperdal 2mg y José Reyes: Vitamina D 500mg</t>
        </is>
      </c>
      <c r="I174" s="7" t="inlineStr"/>
      <c r="J174" s="7" t="inlineStr">
        <is>
          <t>Pendiente</t>
        </is>
      </c>
      <c r="K174" s="7" t="inlineStr"/>
      <c r="L174" s="7" t="inlineStr"/>
      <c r="M174" s="7" t="inlineStr">
        <is>
          <t>Sin desarrollo todavía (Sprint 4 activo desde 2026-10-09).</t>
        </is>
      </c>
    </row>
    <row r="175">
      <c r="A175" s="7" t="inlineStr">
        <is>
          <t>TC-174</t>
        </is>
      </c>
      <c r="B175" s="7" t="inlineStr">
        <is>
          <t>Sprint 4</t>
        </is>
      </c>
      <c r="C175" s="7" t="inlineStr">
        <is>
          <t>Agenda diaria de medicamentos (Medicación) (SCRUM-60)</t>
        </is>
      </c>
      <c r="D175" s="7" t="inlineStr">
        <is>
          <t>Solo aparecen las personas presentes con medicación cargada</t>
        </is>
      </c>
      <c r="E175" s="7" t="inlineStr">
        <is>
          <t>Criterio 3.</t>
        </is>
      </c>
      <c r="F175" s="7" t="inlineStr">
        <is>
          <t>Stack local levantado; usuarios de prueba *@test.com con los roles Referente, Directora, Coordinador y Escucha; sesión iniciada con el rol indicado en los pasos. Una persona con medicación que no asistió hoy y otra presente sin medicación.</t>
        </is>
      </c>
      <c r="G175" s="7" t="inlineStr">
        <is>
          <t>SCRUM-60</t>
        </is>
      </c>
      <c r="H175" s="7" t="inlineStr">
        <is>
          <t>1. Abrir la agenda de hoy  →  No aparece ninguna de las dos</t>
        </is>
      </c>
      <c r="I175" s="7" t="inlineStr"/>
      <c r="J175" s="7" t="inlineStr">
        <is>
          <t>Pendiente</t>
        </is>
      </c>
      <c r="K175" s="7" t="inlineStr"/>
      <c r="L175" s="7" t="inlineStr"/>
      <c r="M175" s="7" t="inlineStr">
        <is>
          <t>Sin desarrollo todavía (Sprint 4 activo desde 2026-10-09).</t>
        </is>
      </c>
    </row>
    <row r="176">
      <c r="A176" s="7" t="inlineStr">
        <is>
          <t>TC-175</t>
        </is>
      </c>
      <c r="B176" s="7" t="inlineStr">
        <is>
          <t>Sprint 4</t>
        </is>
      </c>
      <c r="C176" s="7" t="inlineStr">
        <is>
          <t>Agenda diaria de medicamentos (Medicación) (SCRUM-60)</t>
        </is>
      </c>
      <c r="D176" s="7" t="inlineStr">
        <is>
          <t>Marcar una toma como Administrada o No administrada con observación opcional</t>
        </is>
      </c>
      <c r="E176" s="7" t="inlineStr">
        <is>
          <t>Criterio 4.</t>
        </is>
      </c>
      <c r="F176" s="7" t="inlineStr">
        <is>
          <t>Stack local levantado; usuarios de prueba *@test.com con los roles Referente, Directora, Coordinador y Escucha; sesión iniciada con el rol indicado en los pasos.</t>
        </is>
      </c>
      <c r="G176" s="7" t="inlineStr">
        <is>
          <t>SCRUM-60</t>
        </is>
      </c>
      <c r="H176" s="7" t="inlineStr">
        <is>
          <t>1. Marcar una toma como Administrada  →  La toma queda como Administrada con usuario y hora
2. Marcar otra como No administrada  →  Queda No administrada con la observación</t>
        </is>
      </c>
      <c r="I176" s="7" t="inlineStr"/>
      <c r="J176" s="7" t="inlineStr">
        <is>
          <t>Pendiente</t>
        </is>
      </c>
      <c r="K176" s="7" t="inlineStr"/>
      <c r="L176" s="7" t="inlineStr"/>
      <c r="M176" s="7" t="inlineStr">
        <is>
          <t>Sin desarrollo todavía (Sprint 4 activo desde 2026-10-09).</t>
        </is>
      </c>
    </row>
    <row r="177">
      <c r="A177" s="7" t="inlineStr">
        <is>
          <t>TC-176</t>
        </is>
      </c>
      <c r="B177" s="7" t="inlineStr">
        <is>
          <t>Sprint 4</t>
        </is>
      </c>
      <c r="C177" s="7" t="inlineStr">
        <is>
          <t>Agenda diaria de medicamentos (Medicación) (SCRUM-60)</t>
        </is>
      </c>
      <c r="D177" s="7" t="inlineStr">
        <is>
          <t>Acceso directo a la agenda del día desde el panel principal</t>
        </is>
      </c>
      <c r="E177" s="7" t="inlineStr">
        <is>
          <t>Criterio 5.</t>
        </is>
      </c>
      <c r="F177" s="7" t="inlineStr">
        <is>
          <t>Stack local levantado; usuarios de prueba *@test.com con los roles Referente, Directora, Coordinador y Escucha; sesión iniciada con el rol indicado en los pasos.</t>
        </is>
      </c>
      <c r="G177" s="7" t="inlineStr">
        <is>
          <t>SCRUM-60</t>
        </is>
      </c>
      <c r="H177" s="7" t="inlineStr">
        <is>
          <t>1. Ingresar y mirar el panel principal  →  Hay un acceso directo visible a la agenda de hoy que la abre</t>
        </is>
      </c>
      <c r="I177" s="7" t="inlineStr"/>
      <c r="J177" s="7" t="inlineStr">
        <is>
          <t>Pendiente</t>
        </is>
      </c>
      <c r="K177" s="7" t="inlineStr"/>
      <c r="L177" s="7" t="inlineStr"/>
      <c r="M177" s="7" t="inlineStr">
        <is>
          <t>Sin desarrollo todavía (Sprint 4 activo desde 2026-10-09).</t>
        </is>
      </c>
    </row>
    <row r="178">
      <c r="A178" s="7" t="inlineStr">
        <is>
          <t>TC-177</t>
        </is>
      </c>
      <c r="B178" s="7" t="inlineStr">
        <is>
          <t>Sprint 4</t>
        </is>
      </c>
      <c r="C178" s="7" t="inlineStr">
        <is>
          <t>Agenda diaria de medicamentos (Medicación) (SCRUM-60)</t>
        </is>
      </c>
      <c r="D178" s="7" t="inlineStr">
        <is>
          <t>Consultar la agenda de días anteriores</t>
        </is>
      </c>
      <c r="E178" s="7" t="inlineStr">
        <is>
          <t>Criterio 6.</t>
        </is>
      </c>
      <c r="F178" s="7" t="inlineStr">
        <is>
          <t>Stack local levantado; usuarios de prueba *@test.com con los roles Referente, Directora, Coordinador y Escucha; sesión iniciada con el rol indicado en los pasos. Agenda con tomas administradas ayer.</t>
        </is>
      </c>
      <c r="G178" s="7" t="inlineStr">
        <is>
          <t>SCRUM-60</t>
        </is>
      </c>
      <c r="H178" s="7" t="inlineStr">
        <is>
          <t>1. Elegir la fecha de ayer  →  Se ve la agenda de ese día con el estado de cada toma</t>
        </is>
      </c>
      <c r="I178" s="7" t="inlineStr"/>
      <c r="J178" s="7" t="inlineStr">
        <is>
          <t>Pendiente</t>
        </is>
      </c>
      <c r="K178" s="7" t="inlineStr"/>
      <c r="L178" s="7" t="inlineStr"/>
      <c r="M178" s="7" t="inlineStr">
        <is>
          <t>Sin desarrollo todavía (Sprint 4 activo desde 2026-10-09).</t>
        </is>
      </c>
    </row>
    <row r="179">
      <c r="A179" s="7" t="inlineStr">
        <is>
          <t>TC-178</t>
        </is>
      </c>
      <c r="B179" s="7" t="inlineStr">
        <is>
          <t>Sprint 4</t>
        </is>
      </c>
      <c r="C179" s="7" t="inlineStr">
        <is>
          <t>Historial de medicación (Medicación) (SCRUM-61)</t>
        </is>
      </c>
      <c r="D179" s="7" t="inlineStr">
        <is>
          <t>Ver el historial de tomas desde el perfil de la persona</t>
        </is>
      </c>
      <c r="E179" s="7" t="inlineStr">
        <is>
          <t>Criterios 1 y 4.</t>
        </is>
      </c>
      <c r="F179" s="7" t="inlineStr">
        <is>
          <t>Stack local levantado; usuarios de prueba *@test.com con los roles Referente, Directora, Coordinador y Escucha; sesión iniciada con el rol indicado en los pasos. Persona con tomas programadas, administradas y no administradas.</t>
        </is>
      </c>
      <c r="G179" s="7" t="inlineStr">
        <is>
          <t>SCRUM-61</t>
        </is>
      </c>
      <c r="H179" s="7" t="inlineStr">
        <is>
          <t>1. Abrir el perfil y entrar a la sección Medicación  →  El historial muestra por fecha las tomas programadas, administradas y no administradas</t>
        </is>
      </c>
      <c r="I179" s="7" t="inlineStr"/>
      <c r="J179" s="7" t="inlineStr">
        <is>
          <t>Pendiente</t>
        </is>
      </c>
      <c r="K179" s="7" t="inlineStr"/>
      <c r="L179" s="7" t="inlineStr"/>
      <c r="M179" s="7" t="inlineStr">
        <is>
          <t>Sin desarrollo todavía (Sprint 4 activo desde 2026-10-09).</t>
        </is>
      </c>
    </row>
    <row r="180">
      <c r="A180" s="7" t="inlineStr">
        <is>
          <t>TC-179</t>
        </is>
      </c>
      <c r="B180" s="7" t="inlineStr">
        <is>
          <t>Sprint 4</t>
        </is>
      </c>
      <c r="C180" s="7" t="inlineStr">
        <is>
          <t>Historial de medicación (Medicación) (SCRUM-61)</t>
        </is>
      </c>
      <c r="D180" s="7" t="inlineStr">
        <is>
          <t>Filtrar por rango de fechas y por medicamento</t>
        </is>
      </c>
      <c r="E180" s="7" t="inlineStr">
        <is>
          <t>Criterio 2.</t>
        </is>
      </c>
      <c r="F180" s="7" t="inlineStr">
        <is>
          <t>Stack local levantado; usuarios de prueba *@test.com con los roles Referente, Directora, Coordinador y Escucha; sesión iniciada con el rol indicado en los pasos.</t>
        </is>
      </c>
      <c r="G180" s="7" t="inlineStr">
        <is>
          <t>SCRUM-61</t>
        </is>
      </c>
      <c r="H180" s="7" t="inlineStr">
        <is>
          <t>1. Aplicar rango de fechas y un medicamento  →  Solo se ven las tomas de ese medicamento en el rango</t>
        </is>
      </c>
      <c r="I180" s="7" t="inlineStr"/>
      <c r="J180" s="7" t="inlineStr">
        <is>
          <t>Pendiente</t>
        </is>
      </c>
      <c r="K180" s="7" t="inlineStr"/>
      <c r="L180" s="7" t="inlineStr"/>
      <c r="M180" s="7" t="inlineStr">
        <is>
          <t>Sin desarrollo todavía (Sprint 4 activo desde 2026-10-09).</t>
        </is>
      </c>
    </row>
    <row r="181">
      <c r="A181" s="7" t="inlineStr">
        <is>
          <t>TC-180</t>
        </is>
      </c>
      <c r="B181" s="7" t="inlineStr">
        <is>
          <t>Sprint 4</t>
        </is>
      </c>
      <c r="C181" s="7" t="inlineStr">
        <is>
          <t>Historial de medicación (Medicación) (SCRUM-61)</t>
        </is>
      </c>
      <c r="D181" s="7" t="inlineStr">
        <is>
          <t>Resaltar las tomas no administradas</t>
        </is>
      </c>
      <c r="E181" s="7" t="inlineStr">
        <is>
          <t>Criterio 3.</t>
        </is>
      </c>
      <c r="F181" s="7" t="inlineStr">
        <is>
          <t>Stack local levantado; usuarios de prueba *@test.com con los roles Referente, Directora, Coordinador y Escucha; sesión iniciada con el rol indicado en los pasos.</t>
        </is>
      </c>
      <c r="G181" s="7" t="inlineStr">
        <is>
          <t>SCRUM-61</t>
        </is>
      </c>
      <c r="H181" s="7" t="inlineStr">
        <is>
          <t>1. Revisar el historial  →  Las tomas No administradas se distinguen visualmente</t>
        </is>
      </c>
      <c r="I181" s="7" t="inlineStr"/>
      <c r="J181" s="7" t="inlineStr">
        <is>
          <t>Pendiente</t>
        </is>
      </c>
      <c r="K181" s="7" t="inlineStr"/>
      <c r="L181" s="7" t="inlineStr"/>
      <c r="M181" s="7" t="inlineStr">
        <is>
          <t>Sin desarrollo todavía (Sprint 4 activo desde 2026-10-09).</t>
        </is>
      </c>
    </row>
    <row r="182">
      <c r="A182" s="7" t="inlineStr">
        <is>
          <t>TC-181</t>
        </is>
      </c>
      <c r="B182" s="7" t="inlineStr">
        <is>
          <t>Sprint 4</t>
        </is>
      </c>
      <c r="C182" s="7" t="inlineStr">
        <is>
          <t>Historial de medicación (Medicación) (SCRUM-61)</t>
        </is>
      </c>
      <c r="D182" s="7" t="inlineStr">
        <is>
          <t>Acceso restringido a Referentes y Directora</t>
        </is>
      </c>
      <c r="E182" s="7" t="inlineStr">
        <is>
          <t>Criterio 5.</t>
        </is>
      </c>
      <c r="F182" s="7" t="inlineStr">
        <is>
          <t>Stack local levantado; usuarios de prueba *@test.com con los roles Referente, Directora, Coordinador y Escucha; sesión iniciada con el rol indicado en los pasos.</t>
        </is>
      </c>
      <c r="G182" s="7" t="inlineStr">
        <is>
          <t>SCRUM-61</t>
        </is>
      </c>
      <c r="H182" s="7" t="inlineStr">
        <is>
          <t>1. Abrir el historial como Referente y Directora  →  Se ve
2. Abrirlo como Escucha  →  No se muestra y la API responde 403
3. Abrirlo como Coordinador  →  A confirmar: la historia no lo incluye pero SCRUM-59 sí lo deja ver el esquema</t>
        </is>
      </c>
      <c r="I182" s="7" t="inlineStr"/>
      <c r="J182" s="7" t="inlineStr">
        <is>
          <t>Pendiente</t>
        </is>
      </c>
      <c r="K182" s="7" t="inlineStr"/>
      <c r="L182" s="7" t="inlineStr"/>
      <c r="M182" s="7" t="inlineStr">
        <is>
          <t>Sin desarrollo todavía (Sprint 4 activo desde 2026-10-09).</t>
        </is>
      </c>
    </row>
    <row r="183">
      <c r="A183" s="7" t="inlineStr">
        <is>
          <t>TC-182</t>
        </is>
      </c>
      <c r="B183" s="7" t="inlineStr">
        <is>
          <t>Sprint 4</t>
        </is>
      </c>
      <c r="C183" s="7" t="inlineStr">
        <is>
          <t>Historial de medicación (Medicación) (SCRUM-61)</t>
        </is>
      </c>
      <c r="D183" s="7" t="inlineStr">
        <is>
          <t>Exportar el historial de medicación a PDF</t>
        </is>
      </c>
      <c r="E183" s="7" t="inlineStr">
        <is>
          <t>Criterio 6.</t>
        </is>
      </c>
      <c r="F183" s="7" t="inlineStr">
        <is>
          <t>Stack local levantado; usuarios de prueba *@test.com con los roles Referente, Directora, Coordinador y Escucha; sesión iniciada con el rol indicado en los pasos.</t>
        </is>
      </c>
      <c r="G183" s="7" t="inlineStr">
        <is>
          <t>SCRUM-61</t>
        </is>
      </c>
      <c r="H183" s="7" t="inlineStr">
        <is>
          <t>1. Exportar el historial de una persona  →  Se descarga un PDF con las tomas del filtro
2. Exportar uno sin tomas  →  El sistema avisa o genera el PDF vacío sin error</t>
        </is>
      </c>
      <c r="I183" s="7" t="inlineStr"/>
      <c r="J183" s="7" t="inlineStr">
        <is>
          <t>Pendiente</t>
        </is>
      </c>
      <c r="K183" s="7" t="inlineStr"/>
      <c r="L183" s="7" t="inlineStr"/>
      <c r="M183" s="7" t="inlineStr">
        <is>
          <t>Sin desarrollo todavía (Sprint 4 activo desde 2026-10-09).</t>
        </is>
      </c>
    </row>
    <row r="184">
      <c r="A184" s="7" t="inlineStr">
        <is>
          <t>TC-183</t>
        </is>
      </c>
      <c r="B184" s="7" t="inlineStr">
        <is>
          <t>Sprint 4</t>
        </is>
      </c>
      <c r="C184" s="7" t="inlineStr">
        <is>
          <t>Stock de medicamentos (Medicación) (SCRUM-71)</t>
        </is>
      </c>
      <c r="D184" s="7" t="inlineStr">
        <is>
          <t>Registrar el ingreso de medicamentos</t>
        </is>
      </c>
      <c r="E184" s="7" t="inlineStr">
        <is>
          <t>Criterio 1.</t>
        </is>
      </c>
      <c r="F184" s="7" t="inlineStr">
        <is>
          <t>Stack local levantado; usuarios de prueba *@test.com con los roles Referente, Directora, Coordinador y Escucha; sesión iniciada con el rol indicado en los pasos.</t>
        </is>
      </c>
      <c r="G184" s="7" t="inlineStr">
        <is>
          <t>SCRUM-71</t>
        </is>
      </c>
      <c r="H184" s="7" t="inlineStr">
        <is>
          <t>1. Cargar un ingreso  →  El stock del medicamento sube 30 y queda un movimiento de ingreso
2. Cargar un ingreso con cantidad 0 o negativa  →  El sistema muestra un mensaje de validación</t>
        </is>
      </c>
      <c r="I184" s="7" t="inlineStr"/>
      <c r="J184" s="7" t="inlineStr">
        <is>
          <t>Pendiente</t>
        </is>
      </c>
      <c r="K184" s="7" t="inlineStr"/>
      <c r="L184" s="7" t="inlineStr"/>
      <c r="M184" s="7" t="inlineStr">
        <is>
          <t>Sin desarrollo todavía (Sprint 4 activo desde 2026-10-09).</t>
        </is>
      </c>
    </row>
    <row r="185">
      <c r="A185" s="7" t="inlineStr">
        <is>
          <t>TC-184</t>
        </is>
      </c>
      <c r="B185" s="7" t="inlineStr">
        <is>
          <t>Sprint 4</t>
        </is>
      </c>
      <c r="C185" s="7" t="inlineStr">
        <is>
          <t>Stock de medicamentos (Medicación) (SCRUM-71)</t>
        </is>
      </c>
      <c r="D185" s="7" t="inlineStr">
        <is>
          <t>Descontar el stock al marcar una toma como administrada</t>
        </is>
      </c>
      <c r="E185" s="7" t="inlineStr">
        <is>
          <t>Criterio 2.</t>
        </is>
      </c>
      <c r="F185" s="7" t="inlineStr">
        <is>
          <t>Stack local levantado; usuarios de prueba *@test.com con los roles Referente, Directora, Coordinador y Escucha; sesión iniciada con el rol indicado en los pasos. Stock de Risperdal = 10 y una toma en la agenda.</t>
        </is>
      </c>
      <c r="G185" s="7" t="inlineStr">
        <is>
          <t>SCRUM-71</t>
        </is>
      </c>
      <c r="H185" s="7" t="inlineStr">
        <is>
          <t>1. Marcar la toma como Administrada  →  El stock baja y queda un movimiento de consumo
2. Marcarla como No administrada  →  El stock no cambia</t>
        </is>
      </c>
      <c r="I185" s="7" t="inlineStr"/>
      <c r="J185" s="7" t="inlineStr">
        <is>
          <t>Pendiente</t>
        </is>
      </c>
      <c r="K185" s="7" t="inlineStr"/>
      <c r="L185" s="7" t="inlineStr"/>
      <c r="M185" s="7" t="inlineStr">
        <is>
          <t>Sin desarrollo todavía (Sprint 4 activo desde 2026-10-09).</t>
        </is>
      </c>
    </row>
    <row r="186">
      <c r="A186" s="7" t="inlineStr">
        <is>
          <t>TC-185</t>
        </is>
      </c>
      <c r="B186" s="7" t="inlineStr">
        <is>
          <t>Sprint 4</t>
        </is>
      </c>
      <c r="C186" s="7" t="inlineStr">
        <is>
          <t>Stock de medicamentos (Medicación) (SCRUM-71)</t>
        </is>
      </c>
      <c r="D186" s="7" t="inlineStr">
        <is>
          <t>Alertar cuando el stock está por debajo del umbral configurable</t>
        </is>
      </c>
      <c r="E186" s="7" t="inlineStr">
        <is>
          <t>Criterio 3.</t>
        </is>
      </c>
      <c r="F186" s="7" t="inlineStr">
        <is>
          <t>Stack local levantado; usuarios de prueba *@test.com con los roles Referente, Directora, Coordinador y Escucha; sesión iniciada con el rol indicado en los pasos.</t>
        </is>
      </c>
      <c r="G186" s="7" t="inlineStr">
        <is>
          <t>SCRUM-71</t>
        </is>
      </c>
      <c r="H186" s="7" t="inlineStr">
        <is>
          <t>1. Configurar el umbral de un medicamento  →  Se guarda el umbral de ese medicamento
2. Dejar el stock por debajo del umbral  →  Se muestra la alerta de stock bajo</t>
        </is>
      </c>
      <c r="I186" s="7" t="inlineStr"/>
      <c r="J186" s="7" t="inlineStr">
        <is>
          <t>Pendiente</t>
        </is>
      </c>
      <c r="K186" s="7" t="inlineStr"/>
      <c r="L186" s="7" t="inlineStr"/>
      <c r="M186" s="7" t="inlineStr">
        <is>
          <t>Sin desarrollo todavía (Sprint 4 activo desde 2026-10-09).</t>
        </is>
      </c>
    </row>
    <row r="187">
      <c r="A187" s="7" t="inlineStr">
        <is>
          <t>TC-186</t>
        </is>
      </c>
      <c r="B187" s="7" t="inlineStr">
        <is>
          <t>Sprint 4</t>
        </is>
      </c>
      <c r="C187" s="7" t="inlineStr">
        <is>
          <t>Stock de medicamentos (Medicación) (SCRUM-71)</t>
        </is>
      </c>
      <c r="D187" s="7" t="inlineStr">
        <is>
          <t>Ver el historial de movimientos de un medicamento</t>
        </is>
      </c>
      <c r="E187" s="7" t="inlineStr">
        <is>
          <t>Criterio 4.</t>
        </is>
      </c>
      <c r="F187" s="7" t="inlineStr">
        <is>
          <t>Stack local levantado; usuarios de prueba *@test.com con los roles Referente, Directora, Coordinador y Escucha; sesión iniciada con el rol indicado en los pasos.</t>
        </is>
      </c>
      <c r="G187" s="7" t="inlineStr">
        <is>
          <t>SCRUM-71</t>
        </is>
      </c>
      <c r="H187" s="7" t="inlineStr">
        <is>
          <t>1. Abrir el historial de un medicamento con ingresos y consumos  →  Lista cada ingreso y consumo con su fecha</t>
        </is>
      </c>
      <c r="I187" s="7" t="inlineStr"/>
      <c r="J187" s="7" t="inlineStr">
        <is>
          <t>Pendiente</t>
        </is>
      </c>
      <c r="K187" s="7" t="inlineStr"/>
      <c r="L187" s="7" t="inlineStr"/>
      <c r="M187" s="7" t="inlineStr">
        <is>
          <t>Sin desarrollo todavía (Sprint 4 activo desde 2026-10-09).</t>
        </is>
      </c>
    </row>
    <row r="188">
      <c r="A188" s="7" t="inlineStr">
        <is>
          <t>TC-187</t>
        </is>
      </c>
      <c r="B188" s="7" t="inlineStr">
        <is>
          <t>Sprint 4</t>
        </is>
      </c>
      <c r="C188" s="7" t="inlineStr">
        <is>
          <t>Stock de medicamentos (Medicación) (SCRUM-71)</t>
        </is>
      </c>
      <c r="D188" s="7" t="inlineStr">
        <is>
          <t>Permisos de gestión del stock</t>
        </is>
      </c>
      <c r="E188" s="7" t="inlineStr">
        <is>
          <t>Criterio 5.</t>
        </is>
      </c>
      <c r="F188" s="7" t="inlineStr">
        <is>
          <t>Stack local levantado; usuarios de prueba *@test.com con los roles Referente, Directora, Coordinador y Escucha; sesión iniciada con el rol indicado en los pasos.</t>
        </is>
      </c>
      <c r="G188" s="7" t="inlineStr">
        <is>
          <t>SCRUM-71</t>
        </is>
      </c>
      <c r="H188" s="7" t="inlineStr">
        <is>
          <t>1. Gestionar el stock como Referente y Directora  →  Se permite
2. Intentarlo como Escucha y Coordinador  →  No se permite (confirmar el caso del Coordinador)</t>
        </is>
      </c>
      <c r="I188" s="7" t="inlineStr"/>
      <c r="J188" s="7" t="inlineStr">
        <is>
          <t>Pendiente</t>
        </is>
      </c>
      <c r="K188" s="7" t="inlineStr"/>
      <c r="L188" s="7" t="inlineStr"/>
      <c r="M188" s="7" t="inlineStr">
        <is>
          <t>Sin desarrollo todavía (Sprint 4 activo desde 2026-10-09).</t>
        </is>
      </c>
    </row>
    <row r="189">
      <c r="A189" s="7" t="inlineStr">
        <is>
          <t>TC-188</t>
        </is>
      </c>
      <c r="B189" s="7" t="inlineStr">
        <is>
          <t>Sprint 4</t>
        </is>
      </c>
      <c r="C189" s="7" t="inlineStr">
        <is>
          <t>Stock de medicamentos (Medicación) (SCRUM-71)</t>
        </is>
      </c>
      <c r="D189" s="7" t="inlineStr">
        <is>
          <t>El stock de medicamentos es independiente del stock de ropa</t>
        </is>
      </c>
      <c r="E189" s="7" t="inlineStr">
        <is>
          <t>Criterio 6.</t>
        </is>
      </c>
      <c r="F189" s="7" t="inlineStr">
        <is>
          <t>Stack local levantado; usuarios de prueba *@test.com con los roles Referente, Directora, Coordinador y Escucha; sesión iniciada con el rol indicado en los pasos. Módulo de stock de ropa, si existe.</t>
        </is>
      </c>
      <c r="G189" s="7" t="inlineStr">
        <is>
          <t>SCRUM-71</t>
        </is>
      </c>
      <c r="H189" s="7" t="inlineStr">
        <is>
          <t>1. Mover stock de medicamentos y mirar el de ropa  →  El stock de ropa no cambia y viceversa</t>
        </is>
      </c>
      <c r="I189" s="7" t="inlineStr"/>
      <c r="J189" s="7" t="inlineStr">
        <is>
          <t>Pendiente</t>
        </is>
      </c>
      <c r="K189" s="7" t="inlineStr"/>
      <c r="L189" s="7" t="inlineStr"/>
      <c r="M189" s="7" t="inlineStr">
        <is>
          <t>Sin desarrollo todavía (Sprint 4 activo desde 2026-10-09).</t>
        </is>
      </c>
    </row>
    <row r="190">
      <c r="A190" s="7" t="inlineStr">
        <is>
          <t>TC-189</t>
        </is>
      </c>
      <c r="B190" s="7" t="inlineStr">
        <is>
          <t>Sprint 4</t>
        </is>
      </c>
      <c r="C190" s="7" t="inlineStr">
        <is>
          <t>Revisión mensual del esquema (Medicación) (SCRUM-75)</t>
        </is>
      </c>
      <c r="D190" s="7" t="inlineStr">
        <is>
          <t>Un medicamento nuevo queda activo y el desactivado se conserva como historial</t>
        </is>
      </c>
      <c r="E190" s="7" t="inlineStr">
        <is>
          <t>Criterios 1, 2 y 3.</t>
        </is>
      </c>
      <c r="F190" s="7" t="inlineStr">
        <is>
          <t>Stack local levantado; usuarios de prueba *@test.com con los roles Referente, Directora, Coordinador y Escucha; sesión iniciada con el rol indicado en los pasos.</t>
        </is>
      </c>
      <c r="G190" s="7" t="inlineStr">
        <is>
          <t>SCRUM-75</t>
        </is>
      </c>
      <c r="H190" s="7" t="inlineStr">
        <is>
          <t>1. Cargar un medicamento nuevo  →  Queda activo
2. Desactivarlo  →  Pasa a inactivo pero el registro se conserva</t>
        </is>
      </c>
      <c r="I190" s="7" t="inlineStr"/>
      <c r="J190" s="7" t="inlineStr">
        <is>
          <t>Pendiente</t>
        </is>
      </c>
      <c r="K190" s="7" t="inlineStr"/>
      <c r="L190" s="7" t="inlineStr"/>
      <c r="M190" s="7" t="inlineStr">
        <is>
          <t>Sin desarrollo todavía (Sprint 4 activo desde 2026-10-09).</t>
        </is>
      </c>
    </row>
    <row r="191">
      <c r="A191" s="7" t="inlineStr">
        <is>
          <t>TC-190</t>
        </is>
      </c>
      <c r="B191" s="7" t="inlineStr">
        <is>
          <t>Sprint 4</t>
        </is>
      </c>
      <c r="C191" s="7" t="inlineStr">
        <is>
          <t>Revisión mensual del esquema (Medicación) (SCRUM-75)</t>
        </is>
      </c>
      <c r="D191" s="7" t="inlineStr">
        <is>
          <t>La agenda diaria muestra solo los esquemas activos</t>
        </is>
      </c>
      <c r="E191" s="7" t="inlineStr">
        <is>
          <t>Criterio 4.</t>
        </is>
      </c>
      <c r="F191" s="7" t="inlineStr">
        <is>
          <t>Stack local levantado; usuarios de prueba *@test.com con los roles Referente, Directora, Coordinador y Escucha; sesión iniciada con el rol indicado en los pasos. Una persona con un esquema activo y otro inactivo.</t>
        </is>
      </c>
      <c r="G191" s="7" t="inlineStr">
        <is>
          <t>SCRUM-75</t>
        </is>
      </c>
      <c r="H191" s="7" t="inlineStr">
        <is>
          <t>1. Abrir la agenda del día  →  Solo aparece el esquema activo</t>
        </is>
      </c>
      <c r="I191" s="7" t="inlineStr"/>
      <c r="J191" s="7" t="inlineStr">
        <is>
          <t>Pendiente</t>
        </is>
      </c>
      <c r="K191" s="7" t="inlineStr"/>
      <c r="L191" s="7" t="inlineStr"/>
      <c r="M191" s="7" t="inlineStr">
        <is>
          <t>Sin desarrollo todavía (Sprint 4 activo desde 2026-10-09).</t>
        </is>
      </c>
    </row>
    <row r="192">
      <c r="A192" s="7" t="inlineStr">
        <is>
          <t>TC-191</t>
        </is>
      </c>
      <c r="B192" s="7" t="inlineStr">
        <is>
          <t>Sprint 4</t>
        </is>
      </c>
      <c r="C192" s="7" t="inlineStr">
        <is>
          <t>Revisión mensual del esquema (Medicación) (SCRUM-75)</t>
        </is>
      </c>
      <c r="D192" s="7" t="inlineStr">
        <is>
          <t>Los esquemas anteriores son visibles desde el perfil</t>
        </is>
      </c>
      <c r="E192" s="7" t="inlineStr">
        <is>
          <t>Criterio 5.</t>
        </is>
      </c>
      <c r="F192" s="7" t="inlineStr">
        <is>
          <t>Stack local levantado; usuarios de prueba *@test.com con los roles Referente, Directora, Coordinador y Escucha; sesión iniciada con el rol indicado en los pasos.</t>
        </is>
      </c>
      <c r="G192" s="7" t="inlineStr">
        <is>
          <t>SCRUM-75</t>
        </is>
      </c>
      <c r="H192" s="7" t="inlineStr">
        <is>
          <t>1. Abrir el perfil y ver Medicación  →  Hay una sección o filtro con los esquemas inactivos</t>
        </is>
      </c>
      <c r="I192" s="7" t="inlineStr"/>
      <c r="J192" s="7" t="inlineStr">
        <is>
          <t>Pendiente</t>
        </is>
      </c>
      <c r="K192" s="7" t="inlineStr"/>
      <c r="L192" s="7" t="inlineStr"/>
      <c r="M192" s="7" t="inlineStr">
        <is>
          <t>Sin desarrollo todavía (Sprint 4 activo desde 2026-10-09).</t>
        </is>
      </c>
    </row>
    <row r="193">
      <c r="A193" s="7" t="inlineStr">
        <is>
          <t>TC-192</t>
        </is>
      </c>
      <c r="B193" s="7" t="inlineStr">
        <is>
          <t>Sprint 4</t>
        </is>
      </c>
      <c r="C193" s="7" t="inlineStr">
        <is>
          <t>Revisión mensual del esquema (Medicación) (SCRUM-75)</t>
        </is>
      </c>
      <c r="D193" s="7" t="inlineStr">
        <is>
          <t>Alertar cuando un esquema lleva más de 30 días sin revisión</t>
        </is>
      </c>
      <c r="E193" s="7" t="inlineStr">
        <is>
          <t>Criterio 6.</t>
        </is>
      </c>
      <c r="F193" s="7" t="inlineStr">
        <is>
          <t>Stack local levantado; usuarios de prueba *@test.com con los roles Referente, Directora, Coordinador y Escucha; sesión iniciada con el rol indicado en los pasos. Esquema con revisado_en de hace 31 días y otro de hace 29.</t>
        </is>
      </c>
      <c r="G193" s="7" t="inlineStr">
        <is>
          <t>SCRUM-75</t>
        </is>
      </c>
      <c r="H193" s="7" t="inlineStr">
        <is>
          <t>1. Abrir los esquemas  →  Se alerta solo el de 31 días</t>
        </is>
      </c>
      <c r="I193" s="7" t="inlineStr"/>
      <c r="J193" s="7" t="inlineStr">
        <is>
          <t>Pendiente</t>
        </is>
      </c>
      <c r="K193" s="7" t="inlineStr"/>
      <c r="L193" s="7" t="inlineStr"/>
      <c r="M193" s="7" t="inlineStr">
        <is>
          <t>Sin desarrollo todavía (Sprint 4 activo desde 2026-10-09).</t>
        </is>
      </c>
    </row>
    <row r="194">
      <c r="A194" s="7" t="inlineStr">
        <is>
          <t>TC-193</t>
        </is>
      </c>
      <c r="B194" s="7" t="inlineStr">
        <is>
          <t>Sprint 4</t>
        </is>
      </c>
      <c r="C194" s="7" t="inlineStr">
        <is>
          <t>Revisión mensual del esquema (Medicación) (SCRUM-75)</t>
        </is>
      </c>
      <c r="D194" s="7" t="inlineStr">
        <is>
          <t>Bloquear nuevos medicamentos con la evaluación psiquiátrica vencida</t>
        </is>
      </c>
      <c r="E194" s="7" t="inlineStr">
        <is>
          <t>Criterio 7: más de 6 meses.</t>
        </is>
      </c>
      <c r="F194" s="7" t="inlineStr">
        <is>
          <t>Stack local levantado; usuarios de prueba *@test.com con los roles Referente, Directora, Coordinador y Escucha; sesión iniciada con el rol indicado en los pasos. Evaluación de hace 6 meses y 1 día, y otra de hace 5 meses.</t>
        </is>
      </c>
      <c r="G194" s="7" t="inlineStr">
        <is>
          <t>SCRUM-75</t>
        </is>
      </c>
      <c r="H194" s="7" t="inlineStr">
        <is>
          <t>1. Intentar agregar un medicamento a la persona con evaluación vencida  →  Se bloquea con un mensaje
2. Hacerlo con la evaluación vigente  →  Se permite</t>
        </is>
      </c>
      <c r="I194" s="7" t="inlineStr"/>
      <c r="J194" s="7" t="inlineStr">
        <is>
          <t>Pendiente</t>
        </is>
      </c>
      <c r="K194" s="7" t="inlineStr"/>
      <c r="L194" s="7" t="inlineStr"/>
      <c r="M194" s="7" t="inlineStr">
        <is>
          <t>Sin desarrollo todavía (Sprint 4 activo desde 2026-10-09).</t>
        </is>
      </c>
    </row>
    <row r="195">
      <c r="A195" s="7" t="inlineStr">
        <is>
          <t>TC-194</t>
        </is>
      </c>
      <c r="B195" s="7" t="inlineStr">
        <is>
          <t>Sprint 4</t>
        </is>
      </c>
      <c r="C195" s="7" t="inlineStr">
        <is>
          <t>Revisión mensual del esquema (Medicación) (SCRUM-75)</t>
        </is>
      </c>
      <c r="D195" s="7" t="inlineStr">
        <is>
          <t>Revisar el esquema registra la fecha y el usuario</t>
        </is>
      </c>
      <c r="E195" s="7" t="inlineStr">
        <is>
          <t>Criterio 8.</t>
        </is>
      </c>
      <c r="F195" s="7" t="inlineStr">
        <is>
          <t>Stack local levantado; usuarios de prueba *@test.com con los roles Referente, Directora, Coordinador y Escucha; sesión iniciada con el rol indicado en los pasos.</t>
        </is>
      </c>
      <c r="G195" s="7" t="inlineStr">
        <is>
          <t>SCRUM-75</t>
        </is>
      </c>
      <c r="H195" s="7" t="inlineStr">
        <is>
          <t>1. Marcar el esquema como revisado  →  Se guardan revisado_en (ahora) y revisado_por (usuario actual) y desaparece la alerta de 30 días</t>
        </is>
      </c>
      <c r="I195" s="7" t="inlineStr"/>
      <c r="J195" s="7" t="inlineStr">
        <is>
          <t>Pendiente</t>
        </is>
      </c>
      <c r="K195" s="7" t="inlineStr"/>
      <c r="L195" s="7" t="inlineStr"/>
      <c r="M195" s="7" t="inlineStr">
        <is>
          <t>Sin desarrollo todavía (Sprint 4 activo desde 2026-10-09).</t>
        </is>
      </c>
    </row>
    <row r="196">
      <c r="A196" s="7" t="inlineStr">
        <is>
          <t>TC-195</t>
        </is>
      </c>
      <c r="B196" s="7" t="inlineStr">
        <is>
          <t>Transversal</t>
        </is>
      </c>
      <c r="C196" s="7" t="inlineStr">
        <is>
          <t>Seguridad y rendimiento</t>
        </is>
      </c>
      <c r="D196" s="7" t="inlineStr">
        <is>
          <t>Los endpoints protegidos exigen sesión</t>
        </is>
      </c>
      <c r="E196" s="7" t="inlineStr">
        <is>
          <t>Sin token, la API no entrega datos.</t>
        </is>
      </c>
      <c r="F196" s="7" t="inlineStr">
        <is>
          <t>Stack local levantado (docker compose en backend/); usuarios de prueba *@test.com.</t>
        </is>
      </c>
      <c r="G196" s="7" t="inlineStr">
        <is>
          <t>RNF seguridad / rendimiento</t>
        </is>
      </c>
      <c r="H196" s="7" t="inlineStr">
        <is>
          <t>1. GET de 7 rutas protegidas (fichas, listado, usuarios, notificaciones, colaboradores, calendarios) sin Authorization  →  Todas responden 401</t>
        </is>
      </c>
      <c r="I196" s="7" t="inlineStr">
        <is>
          <t>docs/qa/security/api-security-and-load.mjs</t>
        </is>
      </c>
      <c r="J196" s="7" t="inlineStr">
        <is>
          <t>OK</t>
        </is>
      </c>
      <c r="K196" s="7" t="inlineStr">
        <is>
          <t>2026-10-16</t>
        </is>
      </c>
      <c r="L196" s="7" t="inlineStr">
        <is>
          <t>Mateo Pavoni</t>
        </is>
      </c>
      <c r="M196" s="7" t="inlineStr">
        <is>
          <t>Las 7 rutas respondieron 401.</t>
        </is>
      </c>
    </row>
    <row r="197">
      <c r="A197" s="7" t="inlineStr">
        <is>
          <t>TC-196</t>
        </is>
      </c>
      <c r="B197" s="7" t="inlineStr">
        <is>
          <t>Transversal</t>
        </is>
      </c>
      <c r="C197" s="7" t="inlineStr">
        <is>
          <t>Seguridad y rendimiento</t>
        </is>
      </c>
      <c r="D197" s="7" t="inlineStr">
        <is>
          <t>Autorización por rol en la API</t>
        </is>
      </c>
      <c r="E197" s="7" t="inlineStr">
        <is>
          <t>Cada rol solo accede a lo que le corresponde.</t>
        </is>
      </c>
      <c r="F197" s="7" t="inlineStr">
        <is>
          <t>Stack local levantado (docker compose en backend/); usuarios de prueba *@test.com.</t>
        </is>
      </c>
      <c r="G197" s="7" t="inlineStr">
        <is>
          <t>RNF seguridad / rendimiento</t>
        </is>
      </c>
      <c r="H197" s="7" t="inlineStr">
        <is>
          <t>1. Escucha intenta POST api/social-records  →  403
2. Escucha, Coordinador y Directora piden api/auth/users/active  →  403</t>
        </is>
      </c>
      <c r="I197" s="7" t="inlineStr">
        <is>
          <t>docs/qa/security/api-security-and-load.mjs</t>
        </is>
      </c>
      <c r="J197" s="7" t="inlineStr">
        <is>
          <t>OK</t>
        </is>
      </c>
      <c r="K197" s="7" t="inlineStr">
        <is>
          <t>2026-10-16</t>
        </is>
      </c>
      <c r="L197" s="7" t="inlineStr">
        <is>
          <t>Mateo Pavoni</t>
        </is>
      </c>
      <c r="M197" s="7" t="inlineStr">
        <is>
          <t>Crear ficha como Escucha: 403. Listar usuarios como Escucha, Coordinador y Directora: 403.</t>
        </is>
      </c>
    </row>
    <row r="198">
      <c r="A198" s="7" t="inlineStr">
        <is>
          <t>TC-197</t>
        </is>
      </c>
      <c r="B198" s="7" t="inlineStr">
        <is>
          <t>Transversal</t>
        </is>
      </c>
      <c r="C198" s="7" t="inlineStr">
        <is>
          <t>Seguridad y rendimiento</t>
        </is>
      </c>
      <c r="D198" s="7" t="inlineStr">
        <is>
          <t>Un token manipulado se rechaza</t>
        </is>
      </c>
      <c r="E198" s="7" t="inlineStr">
        <is>
          <t>Un JWT con el rol alterado, sin firma válida o malformado no da acceso.</t>
        </is>
      </c>
      <c r="F198" s="7" t="inlineStr">
        <is>
          <t>Stack local levantado (docker compose en backend/); usuarios de prueba *@test.com.</t>
        </is>
      </c>
      <c r="G198" s="7" t="inlineStr">
        <is>
          <t>RNF seguridad / rendimiento</t>
        </is>
      </c>
      <c r="H198" s="7" t="inlineStr">
        <is>
          <t>1. Cambiar el rol del payload a Referente conservando la firma  →  401
2. Token con alg=none  →  401
3. Token malformado  →  401</t>
        </is>
      </c>
      <c r="I198" s="7" t="inlineStr">
        <is>
          <t>docs/qa/security/api-security-and-load.mjs</t>
        </is>
      </c>
      <c r="J198" s="7" t="inlineStr">
        <is>
          <t>OK</t>
        </is>
      </c>
      <c r="K198" s="7" t="inlineStr">
        <is>
          <t>2026-10-16</t>
        </is>
      </c>
      <c r="L198" s="7" t="inlineStr">
        <is>
          <t>Mateo Pavoni</t>
        </is>
      </c>
      <c r="M198" s="7" t="inlineStr">
        <is>
          <t>Firma alterada, alg=none y token malformado: 401 en los tres.</t>
        </is>
      </c>
    </row>
    <row r="199">
      <c r="A199" s="7" t="inlineStr">
        <is>
          <t>TC-198</t>
        </is>
      </c>
      <c r="B199" s="7" t="inlineStr">
        <is>
          <t>Transversal</t>
        </is>
      </c>
      <c r="C199" s="7" t="inlineStr">
        <is>
          <t>Seguridad y rendimiento</t>
        </is>
      </c>
      <c r="D199" s="7" t="inlineStr">
        <is>
          <t>Inyección SQL en la búsqueda</t>
        </is>
      </c>
      <c r="E199" s="7" t="inlineStr">
        <is>
          <t>La búsqueda está parametrizada.</t>
        </is>
      </c>
      <c r="F199" s="7" t="inlineStr">
        <is>
          <t>Stack local levantado (docker compose en backend/); usuarios de prueba *@test.com.</t>
        </is>
      </c>
      <c r="G199" s="7" t="inlineStr">
        <is>
          <t>RNF seguridad / rendimiento</t>
        </is>
      </c>
      <c r="H199" s="7" t="inlineStr">
        <is>
          <t>1. Buscar "' OR 1=1 --" y "'; DROP TABLE Persons; --"  →  Sin error 500 y sin devolver todo el listado</t>
        </is>
      </c>
      <c r="I199" s="7" t="inlineStr">
        <is>
          <t>docs/qa/security/api-security-and-load.mjs</t>
        </is>
      </c>
      <c r="J199" s="7" t="inlineStr">
        <is>
          <t>OK</t>
        </is>
      </c>
      <c r="K199" s="7" t="inlineStr">
        <is>
          <t>2026-10-16</t>
        </is>
      </c>
      <c r="L199" s="7" t="inlineStr">
        <is>
          <t>Mateo Pavoni</t>
        </is>
      </c>
      <c r="M199" s="7" t="inlineStr">
        <is>
          <t>Sin errores 500; la búsqueda devolvió 4 de 15 fichas por coincidencia de texto (no un OR 1=1) y las tablas siguen intactas.</t>
        </is>
      </c>
    </row>
    <row r="200">
      <c r="A200" s="7" t="inlineStr">
        <is>
          <t>TC-199</t>
        </is>
      </c>
      <c r="B200" s="7" t="inlineStr">
        <is>
          <t>Transversal</t>
        </is>
      </c>
      <c r="C200" s="7" t="inlineStr">
        <is>
          <t>Seguridad y rendimiento</t>
        </is>
      </c>
      <c r="D200" s="7" t="inlineStr">
        <is>
          <t>El login no revela si el correo existe</t>
        </is>
      </c>
      <c r="E200" s="7" t="inlineStr">
        <is>
          <t>Mismo mensaje para correo inexistente y clave incorrecta.</t>
        </is>
      </c>
      <c r="F200" s="7" t="inlineStr">
        <is>
          <t>Stack local levantado (docker compose en backend/); usuarios de prueba *@test.com.</t>
        </is>
      </c>
      <c r="G200" s="7" t="inlineStr">
        <is>
          <t>RNF seguridad / rendimiento</t>
        </is>
      </c>
      <c r="H200" s="7" t="inlineStr">
        <is>
          <t>1. Login con correo inexistente  →  401 'Credenciales inválidas.'
2. Login con correo existente y clave incorrecta  →  Misma respuesta</t>
        </is>
      </c>
      <c r="I200" s="7" t="inlineStr">
        <is>
          <t>docs/qa/security/api-security-and-load.mjs</t>
        </is>
      </c>
      <c r="J200" s="7" t="inlineStr">
        <is>
          <t>OK</t>
        </is>
      </c>
      <c r="K200" s="7" t="inlineStr">
        <is>
          <t>2026-10-16</t>
        </is>
      </c>
      <c r="L200" s="7" t="inlineStr">
        <is>
          <t>Mateo Pavoni</t>
        </is>
      </c>
      <c r="M200" s="7" t="inlineStr">
        <is>
          <t>Ambas respuestas fueron 401 con el mismo cuerpo.</t>
        </is>
      </c>
    </row>
    <row r="201">
      <c r="A201" s="7" t="inlineStr">
        <is>
          <t>TC-200</t>
        </is>
      </c>
      <c r="B201" s="7" t="inlineStr">
        <is>
          <t>Transversal</t>
        </is>
      </c>
      <c r="C201" s="7" t="inlineStr">
        <is>
          <t>Seguridad y rendimiento</t>
        </is>
      </c>
      <c r="D201" s="7" t="inlineStr">
        <is>
          <t>Política de contraseñas</t>
        </is>
      </c>
      <c r="E201" s="7" t="inlineStr">
        <is>
          <t>El registro rechaza contraseñas débiles.</t>
        </is>
      </c>
      <c r="F201" s="7" t="inlineStr">
        <is>
          <t>Stack local levantado (docker compose en backend/); usuarios de prueba *@test.com.</t>
        </is>
      </c>
      <c r="G201" s="7" t="inlineStr">
        <is>
          <t>RNF seguridad / rendimiento</t>
        </is>
      </c>
      <c r="H201" s="7" t="inlineStr">
        <is>
          <t>1. Registrar con la contraseña '123'  →  400</t>
        </is>
      </c>
      <c r="I201" s="7" t="inlineStr">
        <is>
          <t>docs/qa/security/api-security-and-load.mjs</t>
        </is>
      </c>
      <c r="J201" s="7" t="inlineStr">
        <is>
          <t>OK</t>
        </is>
      </c>
      <c r="K201" s="7" t="inlineStr">
        <is>
          <t>2026-10-16</t>
        </is>
      </c>
      <c r="L201" s="7" t="inlineStr">
        <is>
          <t>Mateo Pavoni</t>
        </is>
      </c>
      <c r="M201" s="7" t="inlineStr">
        <is>
          <t>Respondió 400.</t>
        </is>
      </c>
    </row>
    <row r="202">
      <c r="A202" s="7" t="inlineStr">
        <is>
          <t>TC-201</t>
        </is>
      </c>
      <c r="B202" s="7" t="inlineStr">
        <is>
          <t>Transversal</t>
        </is>
      </c>
      <c r="C202" s="7" t="inlineStr">
        <is>
          <t>Seguridad y rendimiento</t>
        </is>
      </c>
      <c r="D202" s="7" t="inlineStr">
        <is>
          <t>Asignación masiva en el registro</t>
        </is>
      </c>
      <c r="E202" s="7" t="inlineStr">
        <is>
          <t>Enviar role, roleId y status en el registro no otorga privilegios.</t>
        </is>
      </c>
      <c r="F202" s="7" t="inlineStr">
        <is>
          <t>Stack local levantado (docker compose en backend/); usuarios de prueba *@test.com.</t>
        </is>
      </c>
      <c r="G202" s="7" t="inlineStr">
        <is>
          <t>RNF seguridad / rendimiento</t>
        </is>
      </c>
      <c r="H202" s="7" t="inlineStr">
        <is>
          <t>1. Registrar enviando role=Referente, roleId y status=Active  →  La cuenta queda Pendiente
2. Intentar loguear  →  403 Pending</t>
        </is>
      </c>
      <c r="I202" s="7" t="inlineStr">
        <is>
          <t>docs/qa/security/api-security-and-load.mjs</t>
        </is>
      </c>
      <c r="J202" s="7" t="inlineStr">
        <is>
          <t>OK</t>
        </is>
      </c>
      <c r="K202" s="7" t="inlineStr">
        <is>
          <t>2026-10-16</t>
        </is>
      </c>
      <c r="L202" s="7" t="inlineStr">
        <is>
          <t>Mateo Pavoni</t>
        </is>
      </c>
      <c r="M202" s="7" t="inlineStr">
        <is>
          <t>Registro 201 y login 403 con estado Pending: los campos extra se ignoran.</t>
        </is>
      </c>
    </row>
    <row r="203">
      <c r="A203" s="7" t="inlineStr">
        <is>
          <t>TC-202</t>
        </is>
      </c>
      <c r="B203" s="7" t="inlineStr">
        <is>
          <t>Transversal</t>
        </is>
      </c>
      <c r="C203" s="7" t="inlineStr">
        <is>
          <t>Seguridad y rendimiento</t>
        </is>
      </c>
      <c r="D203" s="7" t="inlineStr">
        <is>
          <t>XSS: la API no cae ante HTML en los datos</t>
        </is>
      </c>
      <c r="E203" s="7" t="inlineStr">
        <is>
          <t>Un nombre con HTML no produce errores del servidor.</t>
        </is>
      </c>
      <c r="F203" s="7" t="inlineStr">
        <is>
          <t>Stack local levantado (docker compose en backend/); usuarios de prueba *@test.com.</t>
        </is>
      </c>
      <c r="G203" s="7" t="inlineStr">
        <is>
          <t>RNF seguridad / rendimiento</t>
        </is>
      </c>
      <c r="H203" s="7" t="inlineStr">
        <is>
          <t>1. Crear una ficha con nombre '&lt;img src=x onerror=...&gt;'  →  Rechazo 4xx o guardado sin error 500</t>
        </is>
      </c>
      <c r="I203" s="7" t="inlineStr">
        <is>
          <t>docs/qa/security/api-security-and-load.mjs</t>
        </is>
      </c>
      <c r="J203" s="7" t="inlineStr">
        <is>
          <t>OK</t>
        </is>
      </c>
      <c r="K203" s="7" t="inlineStr">
        <is>
          <t>2026-10-16</t>
        </is>
      </c>
      <c r="L203" s="7" t="inlineStr">
        <is>
          <t>Mateo Pavoni</t>
        </is>
      </c>
      <c r="M203" s="7" t="inlineStr">
        <is>
          <t>La API respondió 400 (nombre inválido).</t>
        </is>
      </c>
    </row>
    <row r="204">
      <c r="A204" s="7" t="inlineStr">
        <is>
          <t>TC-203</t>
        </is>
      </c>
      <c r="B204" s="7" t="inlineStr">
        <is>
          <t>Transversal</t>
        </is>
      </c>
      <c r="C204" s="7" t="inlineStr">
        <is>
          <t>Seguridad y rendimiento</t>
        </is>
      </c>
      <c r="D204" s="7" t="inlineStr">
        <is>
          <t>XSS almacenado en una observación (UI)</t>
        </is>
      </c>
      <c r="E204" s="7" t="inlineStr">
        <is>
          <t>El texto con HTML/script se muestra como texto y no ejecuta código.</t>
        </is>
      </c>
      <c r="F204" s="7" t="inlineStr">
        <is>
          <t>Stack local levantado (docker compose en backend/); usuarios de prueba *@test.com.</t>
        </is>
      </c>
      <c r="G204" s="7" t="inlineStr">
        <is>
          <t>RNF seguridad / rendimiento</t>
        </is>
      </c>
      <c r="H204" s="7" t="inlineStr">
        <is>
          <t>1. Registrar una observación con &lt;img onerror&gt; y &lt;script&gt;  →  Se muestra el texto literal
2. Verificar que no se ejecutó código en la página  →  window.__xss no está definido</t>
        </is>
      </c>
      <c r="I204" s="7" t="inlineStr">
        <is>
          <t>docs/qa/e2e/sprint1-2-ui-flows.mjs</t>
        </is>
      </c>
      <c r="J204" s="7" t="inlineStr">
        <is>
          <t>OK</t>
        </is>
      </c>
      <c r="K204" s="7" t="inlineStr">
        <is>
          <t>2026-10-16</t>
        </is>
      </c>
      <c r="L204" s="7" t="inlineStr">
        <is>
          <t>Mateo Pavoni</t>
        </is>
      </c>
      <c r="M204" s="7" t="inlineStr">
        <is>
          <t>La observación se muestra como texto y no se ejecutó ningún script.</t>
        </is>
      </c>
    </row>
    <row r="205">
      <c r="A205" s="7" t="inlineStr">
        <is>
          <t>TC-204</t>
        </is>
      </c>
      <c r="B205" s="7" t="inlineStr">
        <is>
          <t>Transversal</t>
        </is>
      </c>
      <c r="C205" s="7" t="inlineStr">
        <is>
          <t>Seguridad y rendimiento</t>
        </is>
      </c>
      <c r="D205" s="7" t="inlineStr">
        <is>
          <t>Cabeceras de seguridad del frontend</t>
        </is>
      </c>
      <c r="E205" s="7" t="inlineStr">
        <is>
          <t>El servidor web envía cabeceras defensivas.</t>
        </is>
      </c>
      <c r="F205" s="7" t="inlineStr">
        <is>
          <t>Stack local levantado (docker compose en backend/); usuarios de prueba *@test.com.</t>
        </is>
      </c>
      <c r="G205" s="7" t="inlineStr">
        <is>
          <t>RNF seguridad / rendimiento</t>
        </is>
      </c>
      <c r="H205" s="7" t="inlineStr">
        <is>
          <t>1. Pedir /auth y revisar cabeceras  →  X-Content-Type-Options, X-Frame-Options, Content-Security-Policy y Referrer-Policy presentes</t>
        </is>
      </c>
      <c r="I205" s="7" t="inlineStr">
        <is>
          <t>docs/qa/security/api-security-and-load.mjs</t>
        </is>
      </c>
      <c r="J205" s="7" t="inlineStr">
        <is>
          <t>OK</t>
        </is>
      </c>
      <c r="K205" s="7" t="inlineStr">
        <is>
          <t>2026-10-16</t>
        </is>
      </c>
      <c r="L205" s="7" t="inlineStr">
        <is>
          <t>Mateo Pavoni</t>
        </is>
      </c>
      <c r="M205" s="7" t="inlineStr">
        <is>
          <t>Las cuatro cabeceras están presentes.</t>
        </is>
      </c>
    </row>
    <row r="206">
      <c r="A206" s="7" t="inlineStr">
        <is>
          <t>TC-205</t>
        </is>
      </c>
      <c r="B206" s="7" t="inlineStr">
        <is>
          <t>Transversal</t>
        </is>
      </c>
      <c r="C206" s="7" t="inlineStr">
        <is>
          <t>Seguridad y rendimiento</t>
        </is>
      </c>
      <c r="D206" s="7" t="inlineStr">
        <is>
          <t>La API no expone la versión del servidor</t>
        </is>
      </c>
      <c r="E206" s="7" t="inlineStr">
        <is>
          <t>Sin X-Powered-By ni versión en Server.</t>
        </is>
      </c>
      <c r="F206" s="7" t="inlineStr">
        <is>
          <t>Stack local levantado (docker compose en backend/); usuarios de prueba *@test.com.</t>
        </is>
      </c>
      <c r="G206" s="7" t="inlineStr">
        <is>
          <t>RNF seguridad / rendimiento</t>
        </is>
      </c>
      <c r="H206" s="7" t="inlineStr">
        <is>
          <t>1. Pedir una ruta de la API y revisar cabeceras  →  Sin X-Powered-By; Server sin número de versión</t>
        </is>
      </c>
      <c r="I206" s="7" t="inlineStr">
        <is>
          <t>docs/qa/security/api-security-and-load.mjs</t>
        </is>
      </c>
      <c r="J206" s="7" t="inlineStr">
        <is>
          <t>OK</t>
        </is>
      </c>
      <c r="K206" s="7" t="inlineStr">
        <is>
          <t>2026-10-16</t>
        </is>
      </c>
      <c r="L206" s="7" t="inlineStr">
        <is>
          <t>Mateo Pavoni</t>
        </is>
      </c>
      <c r="M206" s="7" t="inlineStr">
        <is>
          <t>Server: Kestrel, sin X-Powered-By.</t>
        </is>
      </c>
    </row>
    <row r="207">
      <c r="A207" s="7" t="inlineStr">
        <is>
          <t>TC-206</t>
        </is>
      </c>
      <c r="B207" s="7" t="inlineStr">
        <is>
          <t>Transversal</t>
        </is>
      </c>
      <c r="C207" s="7" t="inlineStr">
        <is>
          <t>Seguridad y rendimiento</t>
        </is>
      </c>
      <c r="D207" s="7" t="inlineStr">
        <is>
          <t>Payload de 2 MB y JSON malformado</t>
        </is>
      </c>
      <c r="E207" s="7" t="inlineStr">
        <is>
          <t>La API rechaza entradas anómalas sin romperse ni filtrar trazas.</t>
        </is>
      </c>
      <c r="F207" s="7" t="inlineStr">
        <is>
          <t>Stack local levantado (docker compose en backend/); usuarios de prueba *@test.com.</t>
        </is>
      </c>
      <c r="G207" s="7" t="inlineStr">
        <is>
          <t>RNF seguridad / rendimiento</t>
        </is>
      </c>
      <c r="H207" s="7" t="inlineStr">
        <is>
          <t>1. POST con un nombre de 2 MB  →  4xx
2. POST con JSON incompleto  →  400 sin stack trace</t>
        </is>
      </c>
      <c r="I207" s="7" t="inlineStr">
        <is>
          <t>docs/qa/security/api-security-and-load.mjs</t>
        </is>
      </c>
      <c r="J207" s="7" t="inlineStr">
        <is>
          <t>OK</t>
        </is>
      </c>
      <c r="K207" s="7" t="inlineStr">
        <is>
          <t>2026-10-16</t>
        </is>
      </c>
      <c r="L207" s="7" t="inlineStr">
        <is>
          <t>Mateo Pavoni</t>
        </is>
      </c>
      <c r="M207" s="7" t="inlineStr">
        <is>
          <t>2 MB: 400. JSON malformado: 400 sin trazas.</t>
        </is>
      </c>
    </row>
    <row r="208">
      <c r="A208" s="7" t="inlineStr">
        <is>
          <t>TC-207</t>
        </is>
      </c>
      <c r="B208" s="7" t="inlineStr">
        <is>
          <t>Transversal</t>
        </is>
      </c>
      <c r="C208" s="7" t="inlineStr">
        <is>
          <t>Seguridad y rendimiento</t>
        </is>
      </c>
      <c r="D208" s="7" t="inlineStr">
        <is>
          <t>Ids inexistentes o mal formados</t>
        </is>
      </c>
      <c r="E208" s="7" t="inlineStr">
        <is>
          <t>Sin errores 500 ni datos de otros registros.</t>
        </is>
      </c>
      <c r="F208" s="7" t="inlineStr">
        <is>
          <t>Stack local levantado (docker compose en backend/); usuarios de prueba *@test.com.</t>
        </is>
      </c>
      <c r="G208" s="7" t="inlineStr">
        <is>
          <t>RNF seguridad / rendimiento</t>
        </is>
      </c>
      <c r="H208" s="7" t="inlineStr">
        <is>
          <t>1. GET de una ficha con un GUID inexistente  →  404
2. GET con un id mal formado ('1;DROP')  →  4xx</t>
        </is>
      </c>
      <c r="I208" s="7" t="inlineStr">
        <is>
          <t>docs/qa/security/api-security-and-load.mjs</t>
        </is>
      </c>
      <c r="J208" s="7" t="inlineStr">
        <is>
          <t>OK</t>
        </is>
      </c>
      <c r="K208" s="7" t="inlineStr">
        <is>
          <t>2026-10-16</t>
        </is>
      </c>
      <c r="L208" s="7" t="inlineStr">
        <is>
          <t>Mateo Pavoni</t>
        </is>
      </c>
      <c r="M208" s="7" t="inlineStr">
        <is>
          <t>Inexistente: 404. Mal formado: 404.</t>
        </is>
      </c>
    </row>
    <row r="209">
      <c r="A209" s="7" t="inlineStr">
        <is>
          <t>TC-208</t>
        </is>
      </c>
      <c r="B209" s="7" t="inlineStr">
        <is>
          <t>Transversal</t>
        </is>
      </c>
      <c r="C209" s="7" t="inlineStr">
        <is>
          <t>Seguridad y rendimiento</t>
        </is>
      </c>
      <c r="D209" s="7" t="inlineStr">
        <is>
          <t>Carga: listado de fichas</t>
        </is>
      </c>
      <c r="E209" s="7" t="inlineStr">
        <is>
          <t>50 usuarios concurrentes consultando el listado.</t>
        </is>
      </c>
      <c r="F209" s="7" t="inlineStr">
        <is>
          <t>Stack local levantado (docker compose en backend/); usuarios de prueba *@test.com.</t>
        </is>
      </c>
      <c r="G209" s="7" t="inlineStr">
        <is>
          <t>RNF seguridad / rendimiento</t>
        </is>
      </c>
      <c r="H209" s="7" t="inlineStr">
        <is>
          <t>1. 500 pedidos GET api/social-records/list con 50 en paralelo  →  Sin errores y p95 &lt; 2000 ms</t>
        </is>
      </c>
      <c r="I209" s="7" t="inlineStr">
        <is>
          <t>docs/qa/security/api-security-and-load.mjs</t>
        </is>
      </c>
      <c r="J209" s="7" t="inlineStr">
        <is>
          <t>OK</t>
        </is>
      </c>
      <c r="K209" s="7" t="inlineStr">
        <is>
          <t>2026-10-16</t>
        </is>
      </c>
      <c r="L209" s="7" t="inlineStr">
        <is>
          <t>Mateo Pavoni</t>
        </is>
      </c>
      <c r="M209" s="7" t="inlineStr">
        <is>
          <t>Listado de fichas: 50 usuarios concurrentes, 500 pedidos, 0 errores, 486.9 pedidos/s, p50 89 ms, p95 195 ms, máximo 318 ms.</t>
        </is>
      </c>
    </row>
    <row r="210">
      <c r="A210" s="7" t="inlineStr">
        <is>
          <t>TC-209</t>
        </is>
      </c>
      <c r="B210" s="7" t="inlineStr">
        <is>
          <t>Transversal</t>
        </is>
      </c>
      <c r="C210" s="7" t="inlineStr">
        <is>
          <t>Seguridad y rendimiento</t>
        </is>
      </c>
      <c r="D210" s="7" t="inlineStr">
        <is>
          <t>Carga: notificaciones</t>
        </is>
      </c>
      <c r="E210" s="7" t="inlineStr">
        <is>
          <t>50 usuarios concurrentes consultando notificaciones.</t>
        </is>
      </c>
      <c r="F210" s="7" t="inlineStr">
        <is>
          <t>Stack local levantado (docker compose en backend/); usuarios de prueba *@test.com.</t>
        </is>
      </c>
      <c r="G210" s="7" t="inlineStr">
        <is>
          <t>RNF seguridad / rendimiento</t>
        </is>
      </c>
      <c r="H210" s="7" t="inlineStr">
        <is>
          <t>1. 500 pedidos GET api/notifications con 50 en paralelo  →  Sin errores y p95 &lt; 2000 ms</t>
        </is>
      </c>
      <c r="I210" s="7" t="inlineStr">
        <is>
          <t>docs/qa/security/api-security-and-load.mjs</t>
        </is>
      </c>
      <c r="J210" s="7" t="inlineStr">
        <is>
          <t>OK</t>
        </is>
      </c>
      <c r="K210" s="7" t="inlineStr">
        <is>
          <t>2026-10-16</t>
        </is>
      </c>
      <c r="L210" s="7" t="inlineStr">
        <is>
          <t>Mateo Pavoni</t>
        </is>
      </c>
      <c r="M210" s="7" t="inlineStr">
        <is>
          <t>Notificaciones: 50 usuarios concurrentes, 500 pedidos, 0 errores, 756.9 pedidos/s, p50 62 ms, p95 101 ms, máximo 161 ms.</t>
        </is>
      </c>
    </row>
    <row r="211">
      <c r="A211" s="7" t="inlineStr">
        <is>
          <t>TC-210</t>
        </is>
      </c>
      <c r="B211" s="7" t="inlineStr">
        <is>
          <t>Transversal</t>
        </is>
      </c>
      <c r="C211" s="7" t="inlineStr">
        <is>
          <t>Seguridad y rendimiento</t>
        </is>
      </c>
      <c r="D211" s="7" t="inlineStr">
        <is>
          <t>Carga: calendario general</t>
        </is>
      </c>
      <c r="E211" s="7" t="inlineStr">
        <is>
          <t>30 usuarios concurrentes consultando el calendario.</t>
        </is>
      </c>
      <c r="F211" s="7" t="inlineStr">
        <is>
          <t>Stack local levantado (docker compose en backend/); usuarios de prueba *@test.com.</t>
        </is>
      </c>
      <c r="G211" s="7" t="inlineStr">
        <is>
          <t>RNF seguridad / rendimiento</t>
        </is>
      </c>
      <c r="H211" s="7" t="inlineStr">
        <is>
          <t>1. 300 pedidos GET api/general-calendar-events con 30 en paralelo  →  Sin errores y p95 &lt; 2000 ms</t>
        </is>
      </c>
      <c r="I211" s="7" t="inlineStr">
        <is>
          <t>docs/qa/security/api-security-and-load.mjs</t>
        </is>
      </c>
      <c r="J211" s="7" t="inlineStr">
        <is>
          <t>OK</t>
        </is>
      </c>
      <c r="K211" s="7" t="inlineStr">
        <is>
          <t>2026-10-16</t>
        </is>
      </c>
      <c r="L211" s="7" t="inlineStr">
        <is>
          <t>Mateo Pavoni</t>
        </is>
      </c>
      <c r="M211" s="7" t="inlineStr">
        <is>
          <t>Calendario general: 30 usuarios concurrentes, 300 pedidos, 0 errores, 545.1 pedidos/s, p50 49 ms, p95 89 ms, máximo 101 ms.</t>
        </is>
      </c>
    </row>
    <row r="212">
      <c r="A212" s="7" t="inlineStr">
        <is>
          <t>TC-211</t>
        </is>
      </c>
      <c r="B212" s="7" t="inlineStr">
        <is>
          <t>Transversal</t>
        </is>
      </c>
      <c r="C212" s="7" t="inlineStr">
        <is>
          <t>Seguridad y rendimiento</t>
        </is>
      </c>
      <c r="D212" s="7" t="inlineStr">
        <is>
          <t>Carga: inicio de sesión</t>
        </is>
      </c>
      <c r="E212" s="7" t="inlineStr">
        <is>
          <t>20 usuarios concurrentes iniciando sesión (bcrypt).</t>
        </is>
      </c>
      <c r="F212" s="7" t="inlineStr">
        <is>
          <t>Stack local levantado (docker compose en backend/); usuarios de prueba *@test.com.</t>
        </is>
      </c>
      <c r="G212" s="7" t="inlineStr">
        <is>
          <t>RNF seguridad / rendimiento</t>
        </is>
      </c>
      <c r="H212" s="7" t="inlineStr">
        <is>
          <t>1. 100 pedidos POST api/auth/login con 20 en paralelo  →  Sin errores y p95 &lt; 3000 ms</t>
        </is>
      </c>
      <c r="I212" s="7" t="inlineStr">
        <is>
          <t>docs/qa/security/api-security-and-load.mjs</t>
        </is>
      </c>
      <c r="J212" s="7" t="inlineStr">
        <is>
          <t>OK</t>
        </is>
      </c>
      <c r="K212" s="7" t="inlineStr">
        <is>
          <t>2026-10-16</t>
        </is>
      </c>
      <c r="L212" s="7" t="inlineStr">
        <is>
          <t>Mateo Pavoni</t>
        </is>
      </c>
      <c r="M212" s="7" t="inlineStr">
        <is>
          <t>Login: 20 usuarios concurrentes, 100 pedidos, 0 errores, 11.6 pedidos/s, p50 1674 ms, p95 2781 ms, máximo 3110 ms.</t>
        </is>
      </c>
    </row>
  </sheetData>
  <autoFilter ref="A1:M212"/>
  <dataValidations count="1">
    <dataValidation sqref="J2:J212" showDropDown="0" showInputMessage="0" showErrorMessage="0" allowBlank="1" type="list">
      <formula1>"Pendiente,OK,Falla,Bloqueado"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 customWidth="1" min="2" max="2"/>
    <col width="60" customWidth="1" min="3" max="3"/>
    <col width="36" customWidth="1" min="4" max="4"/>
    <col width="60" customWidth="1" min="5" max="5"/>
  </cols>
  <sheetData>
    <row r="1">
      <c r="A1" s="6" t="inlineStr">
        <is>
          <t>ID</t>
        </is>
      </c>
      <c r="B1" s="6" t="inlineStr">
        <is>
          <t>#</t>
        </is>
      </c>
      <c r="C1" s="6" t="inlineStr">
        <is>
          <t>Paso</t>
        </is>
      </c>
      <c r="D1" s="6" t="inlineStr">
        <is>
          <t>Dato</t>
        </is>
      </c>
      <c r="E1" s="6" t="inlineStr">
        <is>
          <t>Esperamos</t>
        </is>
      </c>
    </row>
    <row r="2">
      <c r="A2" s="7" t="inlineStr">
        <is>
          <t>TC-01</t>
        </is>
      </c>
      <c r="B2" s="7" t="n">
        <v>1</v>
      </c>
      <c r="C2" s="7" t="inlineStr">
        <is>
          <t>Ingresar a la pantalla de Registro desde el login.</t>
        </is>
      </c>
      <c r="D2" s="7" t="inlineStr">
        <is>
          <t>—</t>
        </is>
      </c>
      <c r="E2" s="7" t="inlineStr">
        <is>
          <t>Se muestra el formulario de registro con los campos nombre, correo y contraseña.</t>
        </is>
      </c>
    </row>
    <row r="3">
      <c r="A3" s="7" t="inlineStr">
        <is>
          <t>TC-01</t>
        </is>
      </c>
      <c r="B3" s="7" t="n">
        <v>2</v>
      </c>
      <c r="C3" s="7" t="inlineStr">
        <is>
          <t>Completar los campos obligatorios y hacer clic en Registrarme.</t>
        </is>
      </c>
      <c r="D3" s="7" t="inlineStr">
        <is>
          <t>correo: ana.lopez@test.com</t>
        </is>
      </c>
      <c r="E3" s="7" t="inlineStr">
        <is>
          <t>El sistema crea la cuenta y muestra un mensaje de confirmación.</t>
        </is>
      </c>
    </row>
    <row r="4">
      <c r="A4" s="7" t="inlineStr">
        <is>
          <t>TC-01</t>
        </is>
      </c>
      <c r="B4" s="7" t="n">
        <v>3</v>
      </c>
      <c r="C4" s="7" t="inlineStr">
        <is>
          <t>Intentar iniciar sesión con las credenciales recién creadas.</t>
        </is>
      </c>
      <c r="D4" s="7" t="inlineStr">
        <is>
          <t>correo: ana.lopez@test.com</t>
        </is>
      </c>
      <c r="E4" s="7" t="inlineStr">
        <is>
          <t>El sistema informa que la cuenta está "Pendiente de aprobación" y no permite el acceso.</t>
        </is>
      </c>
    </row>
    <row r="5">
      <c r="A5" s="7" t="inlineStr">
        <is>
          <t>TC-02</t>
        </is>
      </c>
      <c r="B5" s="7" t="n">
        <v>1</v>
      </c>
      <c r="C5" s="7" t="inlineStr">
        <is>
          <t>Ingresar al panel de Gestión de Usuarios.</t>
        </is>
      </c>
      <c r="D5" s="7" t="inlineStr">
        <is>
          <t>—</t>
        </is>
      </c>
      <c r="E5" s="7" t="inlineStr">
        <is>
          <t>Se muestra el listado de cuentas con su estado (Pendiente / Activa / Desactivada).</t>
        </is>
      </c>
    </row>
    <row r="6">
      <c r="A6" s="7" t="inlineStr">
        <is>
          <t>TC-02</t>
        </is>
      </c>
      <c r="B6" s="7" t="n">
        <v>2</v>
      </c>
      <c r="C6" s="7" t="inlineStr">
        <is>
          <t>Seleccionar una cuenta con estado Pendiente y hacer clic en Aprobar.</t>
        </is>
      </c>
      <c r="D6" s="7" t="inlineStr">
        <is>
          <t>—</t>
        </is>
      </c>
      <c r="E6" s="7" t="inlineStr">
        <is>
          <t>El sistema habilita la selección de un rol para la cuenta.</t>
        </is>
      </c>
    </row>
    <row r="7">
      <c r="A7" s="7" t="inlineStr">
        <is>
          <t>TC-02</t>
        </is>
      </c>
      <c r="B7" s="7" t="n">
        <v>3</v>
      </c>
      <c r="C7" s="7" t="inlineStr">
        <is>
          <t>Seleccionar el rol Escucha y confirmar.</t>
        </is>
      </c>
      <c r="D7" s="7" t="inlineStr">
        <is>
          <t>rol: Escucha</t>
        </is>
      </c>
      <c r="E7" s="7" t="inlineStr">
        <is>
          <t>La cuenta pasa a estado "Activa" con el rol Escucha asignado.</t>
        </is>
      </c>
    </row>
    <row r="8">
      <c r="A8" s="7" t="inlineStr">
        <is>
          <t>TC-03</t>
        </is>
      </c>
      <c r="B8" s="7" t="n">
        <v>1</v>
      </c>
      <c r="C8" s="7" t="inlineStr">
        <is>
          <t>Ingresar el correo electrónico y la contraseña, y hacer clic en Entrar.</t>
        </is>
      </c>
      <c r="D8" s="7" t="inlineStr">
        <is>
          <t>correo: franco@hogar.org</t>
        </is>
      </c>
      <c r="E8" s="7" t="inlineStr">
        <is>
          <t>El sistema valida las credenciales y redirige al panel principal según el rol del usuario.</t>
        </is>
      </c>
    </row>
    <row r="9">
      <c r="A9" s="7" t="inlineStr">
        <is>
          <t>TC-04</t>
        </is>
      </c>
      <c r="B9" s="7" t="n">
        <v>1</v>
      </c>
      <c r="C9" s="7" t="inlineStr">
        <is>
          <t>Ingresar el correo válido con una contraseña incorrecta y hacer clic en Entrar.</t>
        </is>
      </c>
      <c r="D9" s="7" t="inlineStr">
        <is>
          <t>intento 1 a 4</t>
        </is>
      </c>
      <c r="E9" s="7" t="inlineStr">
        <is>
          <t>El sistema rechaza el acceso e indica "Credenciales inválidas." (el sistema no revela cuál de los dos datos es incorrecto).</t>
        </is>
      </c>
    </row>
    <row r="10">
      <c r="A10" s="7" t="inlineStr">
        <is>
          <t>TC-04</t>
        </is>
      </c>
      <c r="B10" s="7" t="n">
        <v>2</v>
      </c>
      <c r="C10" s="7" t="inlineStr">
        <is>
          <t>Repetir el intento con contraseña incorrecta por quinta vez consecutiva.</t>
        </is>
      </c>
      <c r="D10" s="7" t="inlineStr">
        <is>
          <t>intento 5</t>
        </is>
      </c>
      <c r="E10" s="7" t="inlineStr">
        <is>
          <t>El sistema bloquea la cuenta e informa que se alcanzó el máximo de intentos permitidos.</t>
        </is>
      </c>
    </row>
    <row r="11">
      <c r="A11" s="7" t="inlineStr">
        <is>
          <t>TC-04</t>
        </is>
      </c>
      <c r="B11" s="7" t="n">
        <v>3</v>
      </c>
      <c r="C11" s="7" t="inlineStr">
        <is>
          <t>Intentar iniciar sesión nuevamente con la contraseña correcta.</t>
        </is>
      </c>
      <c r="D11" s="7" t="inlineStr">
        <is>
          <t>—</t>
        </is>
      </c>
      <c r="E11" s="7" t="inlineStr">
        <is>
          <t>El sistema no permite el acceso mientras la cuenta permanezca bloqueada.</t>
        </is>
      </c>
    </row>
    <row r="12">
      <c r="A12" s="7" t="inlineStr">
        <is>
          <t>TC-05</t>
        </is>
      </c>
      <c r="B12" s="7" t="n">
        <v>1</v>
      </c>
      <c r="C12" s="7" t="inlineStr">
        <is>
          <t>Iniciar sesión con un usuario con rol Escucha.</t>
        </is>
      </c>
      <c r="D12" s="7" t="inlineStr">
        <is>
          <t>—</t>
        </is>
      </c>
      <c r="E12" s="7" t="inlineStr">
        <is>
          <t>El sistema muestra el panel correspondiente al rol Escucha.</t>
        </is>
      </c>
    </row>
    <row r="13">
      <c r="A13" s="7" t="inlineStr">
        <is>
          <t>TC-05</t>
        </is>
      </c>
      <c r="B13" s="7" t="n">
        <v>2</v>
      </c>
      <c r="C13" s="7" t="inlineStr">
        <is>
          <t>Abrir una ficha existente e intentar editar un dato personal.</t>
        </is>
      </c>
      <c r="D13" s="7" t="inlineStr">
        <is>
          <t>—</t>
        </is>
      </c>
      <c r="E13" s="7" t="inlineStr">
        <is>
          <t>El sistema no muestra opciones de edición sobre los datos de la ficha.</t>
        </is>
      </c>
    </row>
    <row r="14">
      <c r="A14" s="7" t="inlineStr">
        <is>
          <t>TC-05</t>
        </is>
      </c>
      <c r="B14" s="7" t="n">
        <v>3</v>
      </c>
      <c r="C14" s="7" t="inlineStr">
        <is>
          <t>Cargar una nueva observación en la bitácora de la ficha.</t>
        </is>
      </c>
      <c r="D14" s="7" t="inlineStr">
        <is>
          <t>texto de observación</t>
        </is>
      </c>
      <c r="E14" s="7" t="inlineStr">
        <is>
          <t>El sistema guarda la observación con fecha, hora y autor automáticos.</t>
        </is>
      </c>
    </row>
    <row r="15">
      <c r="A15" s="7" t="inlineStr">
        <is>
          <t>TC-06</t>
        </is>
      </c>
      <c r="B15" s="7" t="n">
        <v>1</v>
      </c>
      <c r="C15" s="7" t="inlineStr">
        <is>
          <t>Iniciar sesión con un usuario con rol Directora de Casa de Convivencia.</t>
        </is>
      </c>
      <c r="D15" s="7" t="inlineStr">
        <is>
          <t>—</t>
        </is>
      </c>
      <c r="E15" s="7" t="inlineStr">
        <is>
          <t>El sistema muestra el panel correspondiente al rol.</t>
        </is>
      </c>
    </row>
    <row r="16">
      <c r="A16" s="7" t="inlineStr">
        <is>
          <t>TC-06</t>
        </is>
      </c>
      <c r="B16" s="7" t="n">
        <v>2</v>
      </c>
      <c r="C16" s="7" t="inlineStr">
        <is>
          <t>Ingresar al listado general de fichas.</t>
        </is>
      </c>
      <c r="D16" s="7" t="inlineStr">
        <is>
          <t>—</t>
        </is>
      </c>
      <c r="E16" s="7" t="inlineStr">
        <is>
          <t>El listado muestra únicamente las fichas de personas tipo "Residente de casona".</t>
        </is>
      </c>
    </row>
    <row r="17">
      <c r="A17" s="7" t="inlineStr">
        <is>
          <t>TC-06</t>
        </is>
      </c>
      <c r="B17" s="7" t="n">
        <v>3</v>
      </c>
      <c r="C17" s="7" t="inlineStr">
        <is>
          <t>Intentar acceder de forma directa a una ficha de una persona tipo "Visitante".</t>
        </is>
      </c>
      <c r="D17" s="7" t="inlineStr">
        <is>
          <t>—</t>
        </is>
      </c>
      <c r="E17" s="7" t="inlineStr">
        <is>
          <t>El sistema deniega el acceso a la ficha.</t>
        </is>
      </c>
    </row>
    <row r="18">
      <c r="A18" s="7" t="inlineStr">
        <is>
          <t>TC-07</t>
        </is>
      </c>
      <c r="B18" s="7" t="n">
        <v>1</v>
      </c>
      <c r="C18" s="7" t="inlineStr">
        <is>
          <t>Como Referente, ingresar al panel de Gestión de Usuarios y desactivar la cuenta.</t>
        </is>
      </c>
      <c r="D18" s="7" t="inlineStr">
        <is>
          <t>—</t>
        </is>
      </c>
      <c r="E18" s="7" t="inlineStr">
        <is>
          <t>La cuenta pasa a estado "Desactivada".</t>
        </is>
      </c>
    </row>
    <row r="19">
      <c r="A19" s="7" t="inlineStr">
        <is>
          <t>TC-07</t>
        </is>
      </c>
      <c r="B19" s="7" t="n">
        <v>2</v>
      </c>
      <c r="C19" s="7" t="inlineStr">
        <is>
          <t>Intentar iniciar sesión con las credenciales de la cuenta desactivada.</t>
        </is>
      </c>
      <c r="D19" s="7" t="inlineStr">
        <is>
          <t>—</t>
        </is>
      </c>
      <c r="E19" s="7" t="inlineStr">
        <is>
          <t>El sistema deniega el acceso e informa que la cuenta se encuentra desactivada.</t>
        </is>
      </c>
    </row>
    <row r="20">
      <c r="A20" s="7" t="inlineStr">
        <is>
          <t>TC-08</t>
        </is>
      </c>
      <c r="B20" s="7" t="n">
        <v>1</v>
      </c>
      <c r="C20" s="7" t="inlineStr">
        <is>
          <t>Como Referente, desactivar la cuenta del usuario que cargó la observación.</t>
        </is>
      </c>
      <c r="D20" s="7" t="inlineStr">
        <is>
          <t>—</t>
        </is>
      </c>
      <c r="E20" s="7" t="inlineStr">
        <is>
          <t>La cuenta pasa a estado "Desactivada".</t>
        </is>
      </c>
    </row>
    <row r="21">
      <c r="A21" s="7" t="inlineStr">
        <is>
          <t>TC-08</t>
        </is>
      </c>
      <c r="B21" s="7" t="n">
        <v>2</v>
      </c>
      <c r="C21" s="7" t="inlineStr">
        <is>
          <t>Abrir la ficha donde se registró la observación previa.</t>
        </is>
      </c>
      <c r="D21" s="7" t="inlineStr">
        <is>
          <t>—</t>
        </is>
      </c>
      <c r="E21" s="7" t="inlineStr">
        <is>
          <t>La observación se sigue mostrando en la línea de tiempo con su autor y fecha originales.</t>
        </is>
      </c>
    </row>
    <row r="22">
      <c r="A22" s="7" t="inlineStr">
        <is>
          <t>TC-09</t>
        </is>
      </c>
      <c r="B22" s="7" t="n">
        <v>1</v>
      </c>
      <c r="C22" s="7" t="inlineStr">
        <is>
          <t>Registrar una nueva cuenta desde la pantalla de Registro.</t>
        </is>
      </c>
      <c r="D22" s="7" t="inlineStr">
        <is>
          <t>correo: nuevo.usuario@test.com</t>
        </is>
      </c>
      <c r="E22" s="7" t="inlineStr">
        <is>
          <t>La cuenta queda con estado "Pendiente".</t>
        </is>
      </c>
    </row>
    <row r="23">
      <c r="A23" s="7" t="inlineStr">
        <is>
          <t>TC-09</t>
        </is>
      </c>
      <c r="B23" s="7" t="n">
        <v>2</v>
      </c>
      <c r="C23" s="7" t="inlineStr">
        <is>
          <t>Iniciar sesión como Referente y revisar el panel de notificaciones.</t>
        </is>
      </c>
      <c r="D23" s="7" t="inlineStr">
        <is>
          <t>—</t>
        </is>
      </c>
      <c r="E23" s="7" t="inlineStr">
        <is>
          <t>Se muestra una notificación indicando que hay una cuenta pendiente de aprobación.</t>
        </is>
      </c>
    </row>
    <row r="24">
      <c r="A24" s="7" t="inlineStr">
        <is>
          <t>TC-10</t>
        </is>
      </c>
      <c r="B24" s="7" t="n">
        <v>1</v>
      </c>
      <c r="C24" s="7" t="inlineStr">
        <is>
          <t>Iniciar sesión como Referente y acceder al panel de notificaciones.</t>
        </is>
      </c>
      <c r="D24" s="7" t="inlineStr">
        <is>
          <t>—</t>
        </is>
      </c>
      <c r="E24" s="7" t="inlineStr">
        <is>
          <t>Se muestra una alerta identificando la ficha sin observaciones recientes.</t>
        </is>
      </c>
    </row>
    <row r="25">
      <c r="A25" s="7" t="inlineStr">
        <is>
          <t>TC-10</t>
        </is>
      </c>
      <c r="B25" s="7" t="n">
        <v>2</v>
      </c>
      <c r="C25" s="7" t="inlineStr">
        <is>
          <t>Hacer clic en la alerta.</t>
        </is>
      </c>
      <c r="D25" s="7" t="inlineStr">
        <is>
          <t>—</t>
        </is>
      </c>
      <c r="E25" s="7" t="inlineStr">
        <is>
          <t>El sistema redirige directamente a la ficha correspondiente.</t>
        </is>
      </c>
    </row>
    <row r="26">
      <c r="A26" s="7" t="inlineStr">
        <is>
          <t>TC-11</t>
        </is>
      </c>
      <c r="B26" s="7" t="n">
        <v>1</v>
      </c>
      <c r="C26" s="7" t="inlineStr">
        <is>
          <t>Ingresar a Fichas y hacer clic en Nueva ficha.</t>
        </is>
      </c>
      <c r="D26" s="7" t="inlineStr">
        <is>
          <t>—</t>
        </is>
      </c>
      <c r="E26" s="7" t="inlineStr">
        <is>
          <t>Se muestra el formulario de alta.</t>
        </is>
      </c>
    </row>
    <row r="27">
      <c r="A27" s="7" t="inlineStr">
        <is>
          <t>TC-11</t>
        </is>
      </c>
      <c r="B27" s="7" t="n">
        <v>2</v>
      </c>
      <c r="C27" s="7" t="inlineStr">
        <is>
          <t>Completar únicamente el nombre y guardar.</t>
        </is>
      </c>
      <c r="D27" s="7" t="inlineStr">
        <is>
          <t>nombre: Juan Pérez</t>
        </is>
      </c>
      <c r="E27" s="7" t="inlineStr">
        <is>
          <t>El sistema crea la ficha en estado activo y la muestra en el listado.</t>
        </is>
      </c>
    </row>
    <row r="28">
      <c r="A28" s="7" t="inlineStr">
        <is>
          <t>TC-11</t>
        </is>
      </c>
      <c r="B28" s="7" t="n">
        <v>3</v>
      </c>
      <c r="C28" s="7" t="inlineStr">
        <is>
          <t>Intentar guardar otra ficha dejando el nombre vacío.</t>
        </is>
      </c>
      <c r="D28" s="7" t="inlineStr">
        <is>
          <t>—</t>
        </is>
      </c>
      <c r="E28" s="7" t="inlineStr">
        <is>
          <t>El sistema rechaza el guardado e indica que el nombre es obligatorio.</t>
        </is>
      </c>
    </row>
    <row r="29">
      <c r="A29" s="7" t="inlineStr">
        <is>
          <t>TC-12</t>
        </is>
      </c>
      <c r="B29" s="7" t="n">
        <v>1</v>
      </c>
      <c r="C29" s="7" t="inlineStr">
        <is>
          <t>Iniciar sesión como Escucha e ingresar al listado de fichas.</t>
        </is>
      </c>
      <c r="D29" s="7" t="inlineStr">
        <is>
          <t>—</t>
        </is>
      </c>
      <c r="E29" s="7" t="inlineStr">
        <is>
          <t>Se muestra el listado y no aparece el botón Nueva ficha.</t>
        </is>
      </c>
    </row>
    <row r="30">
      <c r="A30" s="7" t="inlineStr">
        <is>
          <t>TC-12</t>
        </is>
      </c>
      <c r="B30" s="7" t="n">
        <v>2</v>
      </c>
      <c r="C30" s="7" t="inlineStr">
        <is>
          <t>Abrir una ficha.</t>
        </is>
      </c>
      <c r="D30" s="7" t="inlineStr">
        <is>
          <t>—</t>
        </is>
      </c>
      <c r="E30" s="7" t="inlineStr">
        <is>
          <t>La ficha se visualiza sin opciones de edición.</t>
        </is>
      </c>
    </row>
    <row r="31">
      <c r="A31" s="7" t="inlineStr">
        <is>
          <t>TC-13</t>
        </is>
      </c>
      <c r="B31" s="7" t="n">
        <v>1</v>
      </c>
      <c r="C31" s="7" t="inlineStr">
        <is>
          <t>Buscar por parte del nombre sin tildes y en minúsculas.</t>
        </is>
      </c>
      <c r="D31" s="7" t="inlineStr">
        <is>
          <t>texto: jose alvarez</t>
        </is>
      </c>
      <c r="E31" s="7" t="inlineStr">
        <is>
          <t>La ficha aparece en los resultados.</t>
        </is>
      </c>
    </row>
    <row r="32">
      <c r="A32" s="7" t="inlineStr">
        <is>
          <t>TC-13</t>
        </is>
      </c>
      <c r="B32" s="7" t="n">
        <v>2</v>
      </c>
      <c r="C32" s="7" t="inlineStr">
        <is>
          <t>Buscar por DNI sin puntos.</t>
        </is>
      </c>
      <c r="D32" s="7" t="inlineStr">
        <is>
          <t>texto: 38123456</t>
        </is>
      </c>
      <c r="E32" s="7" t="inlineStr">
        <is>
          <t>La ficha aparece en los resultados.</t>
        </is>
      </c>
    </row>
    <row r="33">
      <c r="A33" s="7" t="inlineStr">
        <is>
          <t>TC-13</t>
        </is>
      </c>
      <c r="B33" s="7" t="n">
        <v>3</v>
      </c>
      <c r="C33" s="7" t="inlineStr">
        <is>
          <t>Buscar un texto sin coincidencias.</t>
        </is>
      </c>
      <c r="D33" s="7" t="inlineStr">
        <is>
          <t>texto: zzzz</t>
        </is>
      </c>
      <c r="E33" s="7" t="inlineStr">
        <is>
          <t>El sistema muestra una lista vacía, sin error.</t>
        </is>
      </c>
    </row>
    <row r="34">
      <c r="A34" s="7" t="inlineStr">
        <is>
          <t>TC-14</t>
        </is>
      </c>
      <c r="B34" s="7" t="n">
        <v>1</v>
      </c>
      <c r="C34" s="7" t="inlineStr">
        <is>
          <t>Crear o editar una ficha cargando una fecha de nacimiento futura.</t>
        </is>
      </c>
      <c r="D34" s="7" t="inlineStr">
        <is>
          <t>fecha: mañana</t>
        </is>
      </c>
      <c r="E34" s="7" t="inlineStr">
        <is>
          <t>El sistema rechaza el guardado e indica que la fecha no puede ser futura.</t>
        </is>
      </c>
    </row>
    <row r="35">
      <c r="A35" s="7" t="inlineStr">
        <is>
          <t>TC-14</t>
        </is>
      </c>
      <c r="B35" s="7" t="n">
        <v>2</v>
      </c>
      <c r="C35" s="7" t="inlineStr">
        <is>
          <t>Repetir con una fecha de ingreso futura.</t>
        </is>
      </c>
      <c r="D35" s="7" t="inlineStr">
        <is>
          <t>fecha: mañana</t>
        </is>
      </c>
      <c r="E35" s="7" t="inlineStr">
        <is>
          <t>El sistema rechaza el guardado con el mismo mensaje.</t>
        </is>
      </c>
    </row>
    <row r="36">
      <c r="A36" s="7" t="inlineStr">
        <is>
          <t>TC-15</t>
        </is>
      </c>
      <c r="B36" s="7" t="n">
        <v>1</v>
      </c>
      <c r="C36" s="7" t="inlineStr">
        <is>
          <t>Filtrar por tipo de persona Residente.</t>
        </is>
      </c>
      <c r="D36" s="7" t="inlineStr">
        <is>
          <t>—</t>
        </is>
      </c>
      <c r="E36" s="7" t="inlineStr">
        <is>
          <t>Solo se listan fichas de residentes.</t>
        </is>
      </c>
    </row>
    <row r="37">
      <c r="A37" s="7" t="inlineStr">
        <is>
          <t>TC-15</t>
        </is>
      </c>
      <c r="B37" s="7" t="n">
        <v>2</v>
      </c>
      <c r="C37" s="7" t="inlineStr">
        <is>
          <t>Agregar el filtro de estado Inactivo.</t>
        </is>
      </c>
      <c r="D37" s="7" t="inlineStr">
        <is>
          <t>—</t>
        </is>
      </c>
      <c r="E37" s="7" t="inlineStr">
        <is>
          <t>Se listan solo las que cumplen ambos filtros.</t>
        </is>
      </c>
    </row>
    <row r="38">
      <c r="A38" s="7" t="inlineStr">
        <is>
          <t>TC-15</t>
        </is>
      </c>
      <c r="B38" s="7" t="n">
        <v>3</v>
      </c>
      <c r="C38" s="7" t="inlineStr">
        <is>
          <t>Cambiar de página con un listado de más de una página.</t>
        </is>
      </c>
      <c r="D38" s="7" t="inlineStr">
        <is>
          <t>—</t>
        </is>
      </c>
      <c r="E38" s="7" t="inlineStr">
        <is>
          <t>La paginación refleja el total real de resultados.</t>
        </is>
      </c>
    </row>
    <row r="39">
      <c r="A39" s="7" t="inlineStr">
        <is>
          <t>TC-16</t>
        </is>
      </c>
      <c r="B39" s="7" t="n">
        <v>1</v>
      </c>
      <c r="C39" s="7" t="inlineStr">
        <is>
          <t>Abrir la ficha y hacer clic en Nueva observación.</t>
        </is>
      </c>
      <c r="D39" s="7" t="inlineStr">
        <is>
          <t>—</t>
        </is>
      </c>
      <c r="E39" s="7" t="inlineStr">
        <is>
          <t>Se abre el modal con el combo de categorías cargado.</t>
        </is>
      </c>
    </row>
    <row r="40">
      <c r="A40" s="7" t="inlineStr">
        <is>
          <t>TC-16</t>
        </is>
      </c>
      <c r="B40" s="7" t="n">
        <v>2</v>
      </c>
      <c r="C40" s="7" t="inlineStr">
        <is>
          <t>Elegir una categoría, escribir el texto y guardar.</t>
        </is>
      </c>
      <c r="D40" s="7" t="inlineStr">
        <is>
          <t>texto: Se lo vio tranquilo</t>
        </is>
      </c>
      <c r="E40" s="7" t="inlineStr">
        <is>
          <t>Se muestra el modal de éxito y la observación aparece en la línea de tiempo con autor y fecha.</t>
        </is>
      </c>
    </row>
    <row r="41">
      <c r="A41" s="7" t="inlineStr">
        <is>
          <t>TC-17</t>
        </is>
      </c>
      <c r="B41" s="7" t="n">
        <v>1</v>
      </c>
      <c r="C41" s="7" t="inlineStr">
        <is>
          <t>Abrir la línea de tiempo sin filtros.</t>
        </is>
      </c>
      <c r="D41" s="7" t="inlineStr">
        <is>
          <t>—</t>
        </is>
      </c>
      <c r="E41" s="7" t="inlineStr">
        <is>
          <t>Se listan observaciones e ingresos/egresos de estadía, de la más reciente a la más antigua.</t>
        </is>
      </c>
    </row>
    <row r="42">
      <c r="A42" s="7" t="inlineStr">
        <is>
          <t>TC-17</t>
        </is>
      </c>
      <c r="B42" s="7" t="n">
        <v>2</v>
      </c>
      <c r="C42" s="7" t="inlineStr">
        <is>
          <t>Filtrar por una categoría.</t>
        </is>
      </c>
      <c r="D42" s="7" t="inlineStr">
        <is>
          <t>categoría: Salud</t>
        </is>
      </c>
      <c r="E42" s="7" t="inlineStr">
        <is>
          <t>Solo se muestran las observaciones de esa categoría y el conteo coincide.</t>
        </is>
      </c>
    </row>
    <row r="43">
      <c r="A43" s="7" t="inlineStr">
        <is>
          <t>TC-18</t>
        </is>
      </c>
      <c r="B43" s="7" t="n">
        <v>1</v>
      </c>
      <c r="C43" s="7" t="inlineStr">
        <is>
          <t>Aplicar un filtro de categoría y hacer clic en Exportar.</t>
        </is>
      </c>
      <c r="D43" s="7" t="inlineStr">
        <is>
          <t>—</t>
        </is>
      </c>
      <c r="E43" s="7" t="inlineStr">
        <is>
          <t>Se descarga un archivo CSV solo con las observaciones filtradas.</t>
        </is>
      </c>
    </row>
    <row r="44">
      <c r="A44" s="7" t="inlineStr">
        <is>
          <t>TC-18</t>
        </is>
      </c>
      <c r="B44" s="7" t="n">
        <v>2</v>
      </c>
      <c r="C44" s="7" t="inlineStr">
        <is>
          <t>Abrir el CSV.</t>
        </is>
      </c>
      <c r="D44" s="7" t="inlineStr">
        <is>
          <t>—</t>
        </is>
      </c>
      <c r="E44" s="7" t="inlineStr">
        <is>
          <t>Los textos con comas o comillas se ven íntegros y en su columna.</t>
        </is>
      </c>
    </row>
    <row r="45">
      <c r="A45" s="7" t="inlineStr">
        <is>
          <t>TC-18</t>
        </is>
      </c>
      <c r="B45" s="7" t="n">
        <v>3</v>
      </c>
      <c r="C45" s="7" t="inlineStr">
        <is>
          <t>Exportar con un filtro sin resultados.</t>
        </is>
      </c>
      <c r="D45" s="7" t="inlineStr">
        <is>
          <t>—</t>
        </is>
      </c>
      <c r="E45" s="7" t="inlineStr">
        <is>
          <t>El CSV contiene solo el encabezado.</t>
        </is>
      </c>
    </row>
    <row r="46">
      <c r="A46" s="7" t="inlineStr">
        <is>
          <t>TC-19</t>
        </is>
      </c>
      <c r="B46" s="7" t="n">
        <v>1</v>
      </c>
      <c r="C46" s="7" t="inlineStr">
        <is>
          <t>Crear una categoría nueva.</t>
        </is>
      </c>
      <c r="D46" s="7" t="inlineStr">
        <is>
          <t>nombre: Seguimiento</t>
        </is>
      </c>
      <c r="E46" s="7" t="inlineStr">
        <is>
          <t>La categoría queda disponible en el combo de observaciones.</t>
        </is>
      </c>
    </row>
    <row r="47">
      <c r="A47" s="7" t="inlineStr">
        <is>
          <t>TC-19</t>
        </is>
      </c>
      <c r="B47" s="7" t="n">
        <v>2</v>
      </c>
      <c r="C47" s="7" t="inlineStr">
        <is>
          <t>Intentar eliminar una categoría que ya tiene observaciones.</t>
        </is>
      </c>
      <c r="D47" s="7" t="inlineStr">
        <is>
          <t>—</t>
        </is>
      </c>
      <c r="E47" s="7" t="inlineStr">
        <is>
          <t>El sistema impide la eliminación e informa el motivo.</t>
        </is>
      </c>
    </row>
    <row r="48">
      <c r="A48" s="7" t="inlineStr">
        <is>
          <t>TC-20</t>
        </is>
      </c>
      <c r="B48" s="7" t="n">
        <v>1</v>
      </c>
      <c r="C48" s="7" t="inlineStr">
        <is>
          <t>Abrir Historia de vida y completar una etapa.</t>
        </is>
      </c>
      <c r="D48" s="7" t="inlineStr">
        <is>
          <t>texto de la etapa 1</t>
        </is>
      </c>
      <c r="E48" s="7" t="inlineStr">
        <is>
          <t>Se muestra el modal de éxito y queda registrado el usuario y la fecha de última edición.</t>
        </is>
      </c>
    </row>
    <row r="49">
      <c r="A49" s="7" t="inlineStr">
        <is>
          <t>TC-20</t>
        </is>
      </c>
      <c r="B49" s="7" t="n">
        <v>2</v>
      </c>
      <c r="C49" s="7" t="inlineStr">
        <is>
          <t>Volver a guardar la misma etapa con otro texto.</t>
        </is>
      </c>
      <c r="D49" s="7" t="inlineStr">
        <is>
          <t>texto nuevo</t>
        </is>
      </c>
      <c r="E49" s="7" t="inlineStr">
        <is>
          <t>Se ve el contenido nuevo y el anterior permanece en el historial.</t>
        </is>
      </c>
    </row>
    <row r="50">
      <c r="A50" s="7" t="inlineStr">
        <is>
          <t>TC-21</t>
        </is>
      </c>
      <c r="B50" s="7" t="n">
        <v>1</v>
      </c>
      <c r="C50" s="7" t="inlineStr">
        <is>
          <t>Intentar cambiar el tipo de la persona a Residente.</t>
        </is>
      </c>
      <c r="D50" s="7" t="inlineStr">
        <is>
          <t>—</t>
        </is>
      </c>
      <c r="E50" s="7" t="inlineStr">
        <is>
          <t>El sistema rechaza el cambio e indica que falta la evaluación psiquiátrica.</t>
        </is>
      </c>
    </row>
    <row r="51">
      <c r="A51" s="7" t="inlineStr">
        <is>
          <t>TC-21</t>
        </is>
      </c>
      <c r="B51" s="7" t="n">
        <v>2</v>
      </c>
      <c r="C51" s="7" t="inlineStr">
        <is>
          <t>Cargar una evaluación vigente y repetir el cambio.</t>
        </is>
      </c>
      <c r="D51" s="7" t="inlineStr">
        <is>
          <t>—</t>
        </is>
      </c>
      <c r="E51" s="7" t="inlineStr">
        <is>
          <t>El tipo pasa a Residente y se registra en el historial de tipo de persona con autor y fecha.</t>
        </is>
      </c>
    </row>
    <row r="52">
      <c r="A52" s="7" t="inlineStr">
        <is>
          <t>TC-22</t>
        </is>
      </c>
      <c r="B52" s="7" t="n">
        <v>1</v>
      </c>
      <c r="C52" s="7" t="inlineStr">
        <is>
          <t>Registrar el ingreso desde la ficha.</t>
        </is>
      </c>
      <c r="D52" s="7" t="inlineStr">
        <is>
          <t>—</t>
        </is>
      </c>
      <c r="E52" s="7" t="inlineStr">
        <is>
          <t>Se abre una estadía con fecha y hora automáticas.</t>
        </is>
      </c>
    </row>
    <row r="53">
      <c r="A53" s="7" t="inlineStr">
        <is>
          <t>TC-22</t>
        </is>
      </c>
      <c r="B53" s="7" t="n">
        <v>2</v>
      </c>
      <c r="C53" s="7" t="inlineStr">
        <is>
          <t>Registrar el egreso eligiendo un motivo.</t>
        </is>
      </c>
      <c r="D53" s="7" t="inlineStr">
        <is>
          <t>motivo: Derivación</t>
        </is>
      </c>
      <c r="E53" s="7" t="inlineStr">
        <is>
          <t>La estadía se cierra y aparece en la línea de tiempo.</t>
        </is>
      </c>
    </row>
    <row r="54">
      <c r="A54" s="7" t="inlineStr">
        <is>
          <t>TC-22</t>
        </is>
      </c>
      <c r="B54" s="7" t="n">
        <v>3</v>
      </c>
      <c r="C54" s="7" t="inlineStr">
        <is>
          <t>Registrar un egreso con motivo Otro sin texto.</t>
        </is>
      </c>
      <c r="D54" s="7" t="inlineStr">
        <is>
          <t>motivo: Otro</t>
        </is>
      </c>
      <c r="E54" s="7" t="inlineStr">
        <is>
          <t>El sistema exige completar el detalle del motivo.</t>
        </is>
      </c>
    </row>
    <row r="55">
      <c r="A55" s="7" t="inlineStr">
        <is>
          <t>TC-23</t>
        </is>
      </c>
      <c r="B55" s="7" t="n">
        <v>1</v>
      </c>
      <c r="C55" s="7" t="inlineStr">
        <is>
          <t>Intentar cambiar el tipo a Ambulatorio.</t>
        </is>
      </c>
      <c r="D55" s="7" t="inlineStr">
        <is>
          <t>—</t>
        </is>
      </c>
      <c r="E55" s="7" t="inlineStr">
        <is>
          <t>El sistema lo impide e indica que primero hay que registrar el egreso.</t>
        </is>
      </c>
    </row>
    <row r="56">
      <c r="A56" s="7" t="inlineStr">
        <is>
          <t>TC-23</t>
        </is>
      </c>
      <c r="B56" s="7" t="n">
        <v>2</v>
      </c>
      <c r="C56" s="7" t="inlineStr">
        <is>
          <t>Registrar el egreso y repetir el cambio.</t>
        </is>
      </c>
      <c r="D56" s="7" t="inlineStr">
        <is>
          <t>—</t>
        </is>
      </c>
      <c r="E56" s="7" t="inlineStr">
        <is>
          <t>El cambio se realiza correctamente.</t>
        </is>
      </c>
    </row>
    <row r="57">
      <c r="A57" s="7" t="inlineStr">
        <is>
          <t>TC-24</t>
        </is>
      </c>
      <c r="B57" s="7" t="n">
        <v>1</v>
      </c>
      <c r="C57" s="7" t="inlineStr">
        <is>
          <t>Registrar asistencia de una persona activa.</t>
        </is>
      </c>
      <c r="D57" s="7" t="inlineStr">
        <is>
          <t>—</t>
        </is>
      </c>
      <c r="E57" s="7" t="inlineStr">
        <is>
          <t>La asistencia queda registrada y la persona sigue activa.</t>
        </is>
      </c>
    </row>
    <row r="58">
      <c r="A58" s="7" t="inlineStr">
        <is>
          <t>TC-24</t>
        </is>
      </c>
      <c r="B58" s="7" t="n">
        <v>2</v>
      </c>
      <c r="C58" s="7" t="inlineStr">
        <is>
          <t>Registrar asistencia de una persona inactiva.</t>
        </is>
      </c>
      <c r="D58" s="7" t="inlineStr">
        <is>
          <t>—</t>
        </is>
      </c>
      <c r="E58" s="7" t="inlineStr">
        <is>
          <t>La asistencia queda registrada y la ficha vuelve a estado Activo.</t>
        </is>
      </c>
    </row>
    <row r="59">
      <c r="A59" s="7" t="inlineStr">
        <is>
          <t>TC-25</t>
        </is>
      </c>
      <c r="B59" s="7" t="n">
        <v>1</v>
      </c>
      <c r="C59" s="7" t="inlineStr">
        <is>
          <t>Ejecutar el job de inactividad (o esperar su corrida).</t>
        </is>
      </c>
      <c r="D59" s="7" t="inlineStr">
        <is>
          <t>—</t>
        </is>
      </c>
      <c r="E59" s="7" t="inlineStr">
        <is>
          <t>La ficha sin asistencia reciente pasa a Inactivo y se registra en auditoría.</t>
        </is>
      </c>
    </row>
    <row r="60">
      <c r="A60" s="7" t="inlineStr">
        <is>
          <t>TC-25</t>
        </is>
      </c>
      <c r="B60" s="7" t="n">
        <v>2</v>
      </c>
      <c r="C60" s="7" t="inlineStr">
        <is>
          <t>Revisar la ficha con asistencia reciente.</t>
        </is>
      </c>
      <c r="D60" s="7" t="inlineStr">
        <is>
          <t>—</t>
        </is>
      </c>
      <c r="E60" s="7" t="inlineStr">
        <is>
          <t>Permanece Activa.</t>
        </is>
      </c>
    </row>
    <row r="61">
      <c r="A61" s="7" t="inlineStr">
        <is>
          <t>TC-26</t>
        </is>
      </c>
      <c r="B61" s="7" t="n">
        <v>1</v>
      </c>
      <c r="C61" s="7" t="inlineStr">
        <is>
          <t>En Gestión de Usuarios, ubicar la propia cuenta.</t>
        </is>
      </c>
      <c r="D61" s="7" t="inlineStr">
        <is>
          <t>—</t>
        </is>
      </c>
      <c r="E61" s="7" t="inlineStr">
        <is>
          <t>Los botones de cambiar rol y desactivar están deshabilitados.</t>
        </is>
      </c>
    </row>
    <row r="62">
      <c r="A62" s="7" t="inlineStr">
        <is>
          <t>TC-26</t>
        </is>
      </c>
      <c r="B62" s="7" t="n">
        <v>2</v>
      </c>
      <c r="C62" s="7" t="inlineStr">
        <is>
          <t>Intentar la misma acción por API.</t>
        </is>
      </c>
      <c r="D62" s="7" t="inlineStr">
        <is>
          <t>—</t>
        </is>
      </c>
      <c r="E62" s="7" t="inlineStr">
        <is>
          <t>El sistema responde 403 (CannotActOnSelf).</t>
        </is>
      </c>
    </row>
    <row r="63">
      <c r="A63" s="7" t="inlineStr">
        <is>
          <t>TC-27</t>
        </is>
      </c>
      <c r="B63" s="7" t="n">
        <v>1</v>
      </c>
      <c r="C63" s="7" t="inlineStr">
        <is>
          <t>Rechazar la cuenta sin escribir motivo.</t>
        </is>
      </c>
      <c r="D63" s="7" t="inlineStr">
        <is>
          <t>—</t>
        </is>
      </c>
      <c r="E63" s="7" t="inlineStr">
        <is>
          <t>El sistema exige el motivo.</t>
        </is>
      </c>
    </row>
    <row r="64">
      <c r="A64" s="7" t="inlineStr">
        <is>
          <t>TC-27</t>
        </is>
      </c>
      <c r="B64" s="7" t="n">
        <v>2</v>
      </c>
      <c r="C64" s="7" t="inlineStr">
        <is>
          <t>Rechazar con motivo.</t>
        </is>
      </c>
      <c r="D64" s="7" t="inlineStr">
        <is>
          <t>motivo: datos incompletos</t>
        </is>
      </c>
      <c r="E64" s="7" t="inlineStr">
        <is>
          <t>La cuenta queda Rechazada y se registra en auditoría.</t>
        </is>
      </c>
    </row>
    <row r="65">
      <c r="A65" s="7" t="inlineStr">
        <is>
          <t>TC-28</t>
        </is>
      </c>
      <c r="B65" s="7" t="n">
        <v>1</v>
      </c>
      <c r="C65" s="7" t="inlineStr">
        <is>
          <t>Abrir una notificación desde la campana.</t>
        </is>
      </c>
      <c r="D65" s="7" t="inlineStr">
        <is>
          <t>—</t>
        </is>
      </c>
      <c r="E65" s="7" t="inlineStr">
        <is>
          <t>Esa notificación pasa a leída y baja el contador.</t>
        </is>
      </c>
    </row>
    <row r="66">
      <c r="A66" s="7" t="inlineStr">
        <is>
          <t>TC-28</t>
        </is>
      </c>
      <c r="B66" s="7" t="n">
        <v>2</v>
      </c>
      <c r="C66" s="7" t="inlineStr">
        <is>
          <t>Hacer clic en Marcar todas como leídas.</t>
        </is>
      </c>
      <c r="D66" s="7" t="inlineStr">
        <is>
          <t>—</t>
        </is>
      </c>
      <c r="E66" s="7" t="inlineStr">
        <is>
          <t>El contador llega a cero.</t>
        </is>
      </c>
    </row>
    <row r="67">
      <c r="A67" s="7" t="inlineStr">
        <is>
          <t>TC-29</t>
        </is>
      </c>
      <c r="B67" s="7" t="n">
        <v>1</v>
      </c>
      <c r="C67" s="7" t="inlineStr">
        <is>
          <t>Bloquear la cuenta con 5 intentos fallidos.</t>
        </is>
      </c>
      <c r="D67" s="7" t="inlineStr">
        <is>
          <t>—</t>
        </is>
      </c>
      <c r="E67" s="7" t="inlineStr">
        <is>
          <t>La cuenta queda bloqueada.</t>
        </is>
      </c>
    </row>
    <row r="68">
      <c r="A68" s="7" t="inlineStr">
        <is>
          <t>TC-29</t>
        </is>
      </c>
      <c r="B68" s="7" t="n">
        <v>2</v>
      </c>
      <c r="C68" s="7" t="inlineStr">
        <is>
          <t>Iniciar sesión como Referente y abrir las notificaciones.</t>
        </is>
      </c>
      <c r="D68" s="7" t="inlineStr">
        <is>
          <t>—</t>
        </is>
      </c>
      <c r="E68" s="7" t="inlineStr">
        <is>
          <t>Aparece una notificación de cuenta bloqueada.</t>
        </is>
      </c>
    </row>
    <row r="69">
      <c r="A69" s="7" t="inlineStr">
        <is>
          <t>TC-30</t>
        </is>
      </c>
      <c r="B69" s="7" t="n">
        <v>1</v>
      </c>
      <c r="C69" s="7" t="inlineStr">
        <is>
          <t>Como Referente, cambiar el rol o desactivar al usuario con sesión abierta.</t>
        </is>
      </c>
      <c r="D69" s="7" t="inlineStr">
        <is>
          <t>—</t>
        </is>
      </c>
      <c r="E69" s="7" t="inlineStr">
        <is>
          <t>El cambio se guarda.</t>
        </is>
      </c>
    </row>
    <row r="70">
      <c r="A70" s="7" t="inlineStr">
        <is>
          <t>TC-30</t>
        </is>
      </c>
      <c r="B70" s="7" t="n">
        <v>2</v>
      </c>
      <c r="C70" s="7" t="inlineStr">
        <is>
          <t>En la sesión del usuario afectado, realizar cualquier acción.</t>
        </is>
      </c>
      <c r="D70" s="7" t="inlineStr">
        <is>
          <t>—</t>
        </is>
      </c>
      <c r="E70" s="7" t="inlineStr">
        <is>
          <t>El sistema rechaza la sesión y pide iniciar sesión de nuevo.</t>
        </is>
      </c>
    </row>
    <row r="71">
      <c r="A71" s="7" t="inlineStr">
        <is>
          <t>TC-31</t>
        </is>
      </c>
      <c r="B71" s="7" t="n">
        <v>1</v>
      </c>
      <c r="C71" s="7" t="inlineStr">
        <is>
          <t>Ingresar a la pantalla de Login y hacer clic en Entrar sin completar nada.</t>
        </is>
      </c>
      <c r="D71" s="7" t="inlineStr">
        <is>
          <t>—</t>
        </is>
      </c>
      <c r="E71" s="7" t="inlineStr">
        <is>
          <t>El formulario solicita completar los campos y no se envía ninguna solicitud al servidor.</t>
        </is>
      </c>
    </row>
    <row r="72">
      <c r="A72" s="7" t="inlineStr">
        <is>
          <t>TC-32</t>
        </is>
      </c>
      <c r="B72" s="7" t="n">
        <v>1</v>
      </c>
      <c r="C72" s="7" t="inlineStr">
        <is>
          <t>Ir a la pantalla de Registro y completar los campos con un correo ya registrado.</t>
        </is>
      </c>
      <c r="D72" s="7" t="inlineStr">
        <is>
          <t>correo: ana.lopez@test.com</t>
        </is>
      </c>
      <c r="E72" s="7" t="inlineStr">
        <is>
          <t>El formulario acepta los datos ingresados.</t>
        </is>
      </c>
    </row>
    <row r="73">
      <c r="A73" s="7" t="inlineStr">
        <is>
          <t>TC-32</t>
        </is>
      </c>
      <c r="B73" s="7" t="n">
        <v>2</v>
      </c>
      <c r="C73" s="7" t="inlineStr">
        <is>
          <t>Hacer clic en Registrarme.</t>
        </is>
      </c>
      <c r="D73" s="7" t="inlineStr">
        <is>
          <t>—</t>
        </is>
      </c>
      <c r="E73" s="7" t="inlineStr">
        <is>
          <t>El sistema rechaza el registro (409) e informa que el correo ya está registrado.</t>
        </is>
      </c>
    </row>
    <row r="74">
      <c r="A74" s="7" t="inlineStr">
        <is>
          <t>TC-33</t>
        </is>
      </c>
      <c r="B74" s="7" t="n">
        <v>1</v>
      </c>
      <c r="C74" s="7" t="inlineStr">
        <is>
          <t>Ingresar al panel de Gestión de Usuarios y aprobar la cuenta pendiente.</t>
        </is>
      </c>
      <c r="D74" s="7" t="inlineStr">
        <is>
          <t>—</t>
        </is>
      </c>
      <c r="E74" s="7" t="inlineStr">
        <is>
          <t>Se muestra el selector de roles.</t>
        </is>
      </c>
    </row>
    <row r="75">
      <c r="A75" s="7" t="inlineStr">
        <is>
          <t>TC-33</t>
        </is>
      </c>
      <c r="B75" s="7" t="n">
        <v>2</v>
      </c>
      <c r="C75" s="7" t="inlineStr">
        <is>
          <t>Abrir el selector y elegir el rol Coordinador de Casa de Convivencia.</t>
        </is>
      </c>
      <c r="D75" s="7" t="inlineStr">
        <is>
          <t>rol: Coordinador de Casa de Convivencia</t>
        </is>
      </c>
      <c r="E75" s="7" t="inlineStr">
        <is>
          <t>El rol aparece disponible en el selector.</t>
        </is>
      </c>
    </row>
    <row r="76">
      <c r="A76" s="7" t="inlineStr">
        <is>
          <t>TC-33</t>
        </is>
      </c>
      <c r="B76" s="7" t="n">
        <v>3</v>
      </c>
      <c r="C76" s="7" t="inlineStr">
        <is>
          <t>Confirmar la aprobación.</t>
        </is>
      </c>
      <c r="D76" s="7" t="inlineStr">
        <is>
          <t>—</t>
        </is>
      </c>
      <c r="E76" s="7" t="inlineStr">
        <is>
          <t>La cuenta pasa a Activa con el rol Coordinador asignado.</t>
        </is>
      </c>
    </row>
    <row r="77">
      <c r="A77" s="7" t="inlineStr">
        <is>
          <t>TC-34</t>
        </is>
      </c>
      <c r="B77" s="7" t="n">
        <v>1</v>
      </c>
      <c r="C77" s="7" t="inlineStr">
        <is>
          <t>Abrir una ficha existente y hacer clic en Editar.</t>
        </is>
      </c>
      <c r="D77" s="7" t="inlineStr">
        <is>
          <t>—</t>
        </is>
      </c>
      <c r="E77" s="7" t="inlineStr">
        <is>
          <t>La pantalla muestra los datos reales de la ficha seleccionada.</t>
        </is>
      </c>
    </row>
    <row r="78">
      <c r="A78" s="7" t="inlineStr">
        <is>
          <t>TC-34</t>
        </is>
      </c>
      <c r="B78" s="7" t="n">
        <v>2</v>
      </c>
      <c r="C78" s="7" t="inlineStr">
        <is>
          <t>Modificar un dato y guardar.</t>
        </is>
      </c>
      <c r="D78" s="7" t="inlineStr">
        <is>
          <t>apellido: Torres</t>
        </is>
      </c>
      <c r="E78" s="7" t="inlineStr">
        <is>
          <t>El sistema guarda los cambios y los muestra en el perfil de la ficha.</t>
        </is>
      </c>
    </row>
    <row r="79">
      <c r="A79" s="7" t="inlineStr">
        <is>
          <t>TC-35</t>
        </is>
      </c>
      <c r="B79" s="7" t="n">
        <v>1</v>
      </c>
      <c r="C79" s="7" t="inlineStr">
        <is>
          <t>Abrir la ficha, hacer clic en Editar y modificar los datos del contacto.</t>
        </is>
      </c>
      <c r="D79" s="7" t="inlineStr">
        <is>
          <t>contacto: nuevo teléfono</t>
        </is>
      </c>
      <c r="E79" s="7" t="inlineStr">
        <is>
          <t>El formulario muestra el contacto con los datos nuevos.</t>
        </is>
      </c>
    </row>
    <row r="80">
      <c r="A80" s="7" t="inlineStr">
        <is>
          <t>TC-35</t>
        </is>
      </c>
      <c r="B80" s="7" t="n">
        <v>2</v>
      </c>
      <c r="C80" s="7" t="inlineStr">
        <is>
          <t>Guardar y volver a abrir la ficha.</t>
        </is>
      </c>
      <c r="D80" s="7" t="inlineStr">
        <is>
          <t>—</t>
        </is>
      </c>
      <c r="E80" s="7" t="inlineStr">
        <is>
          <t>El contacto se actualizó y no se perdió ningún dato.</t>
        </is>
      </c>
    </row>
    <row r="81">
      <c r="A81" s="7" t="inlineStr">
        <is>
          <t>TC-36</t>
        </is>
      </c>
      <c r="B81" s="7" t="n">
        <v>1</v>
      </c>
      <c r="C81" s="7" t="inlineStr">
        <is>
          <t>Cambiar el tipo de persona a Residente y confirmar.</t>
        </is>
      </c>
      <c r="D81" s="7" t="inlineStr">
        <is>
          <t>tipo: Residente</t>
        </is>
      </c>
      <c r="E81" s="7" t="inlineStr">
        <is>
          <t>El cambio se realiza correctamente.</t>
        </is>
      </c>
    </row>
    <row r="82">
      <c r="A82" s="7" t="inlineStr">
        <is>
          <t>TC-36</t>
        </is>
      </c>
      <c r="B82" s="7" t="n">
        <v>2</v>
      </c>
      <c r="C82" s="7" t="inlineStr">
        <is>
          <t>Abrir el perfil y revisar el historial de cambios de tipo.</t>
        </is>
      </c>
      <c r="D82" s="7" t="inlineStr">
        <is>
          <t>—</t>
        </is>
      </c>
      <c r="E82" s="7" t="inlineStr">
        <is>
          <t>El historial muestra el cambio con el valor anterior, el valor nuevo, el autor y la fecha.</t>
        </is>
      </c>
    </row>
    <row r="83">
      <c r="A83" s="7" t="inlineStr">
        <is>
          <t>TC-37</t>
        </is>
      </c>
      <c r="B83" s="7" t="n">
        <v>1</v>
      </c>
      <c r="C83" s="7" t="inlineStr">
        <is>
          <t>Abrir la ficha y hacer clic en Nueva observación.</t>
        </is>
      </c>
      <c r="D83" s="7" t="inlineStr">
        <is>
          <t>—</t>
        </is>
      </c>
      <c r="E83" s="7" t="inlineStr">
        <is>
          <t>Se abre el modal con el combo de categorías cargado.</t>
        </is>
      </c>
    </row>
    <row r="84">
      <c r="A84" s="7" t="inlineStr">
        <is>
          <t>TC-37</t>
        </is>
      </c>
      <c r="B84" s="7" t="n">
        <v>2</v>
      </c>
      <c r="C84" s="7" t="inlineStr">
        <is>
          <t>Elegir una categoría, dejar el texto vacío y guardar.</t>
        </is>
      </c>
      <c r="D84" s="7" t="inlineStr">
        <is>
          <t>texto: (vacío)</t>
        </is>
      </c>
      <c r="E84" s="7" t="inlineStr">
        <is>
          <t>El formulario rechaza el guardado y no se crea ninguna observación.</t>
        </is>
      </c>
    </row>
    <row r="85">
      <c r="A85" s="7" t="inlineStr">
        <is>
          <t>TC-38</t>
        </is>
      </c>
      <c r="B85" s="7" t="n">
        <v>1</v>
      </c>
      <c r="C85" s="7" t="inlineStr">
        <is>
          <t>Abrir Historia de vida y dejar el texto de una etapa vacío.</t>
        </is>
      </c>
      <c r="D85" s="7" t="inlineStr">
        <is>
          <t>texto: (vacío)</t>
        </is>
      </c>
      <c r="E85" s="7" t="inlineStr">
        <is>
          <t>El campo de la etapa queda sin contenido.</t>
        </is>
      </c>
    </row>
    <row r="86">
      <c r="A86" s="7" t="inlineStr">
        <is>
          <t>TC-38</t>
        </is>
      </c>
      <c r="B86" s="7" t="n">
        <v>2</v>
      </c>
      <c r="C86" s="7" t="inlineStr">
        <is>
          <t>Intentar guardar.</t>
        </is>
      </c>
      <c r="D86" s="7" t="inlineStr">
        <is>
          <t>—</t>
        </is>
      </c>
      <c r="E86" s="7" t="inlineStr">
        <is>
          <t>No se suma una entrada en blanco al historial de la etapa.</t>
        </is>
      </c>
    </row>
    <row r="87">
      <c r="A87" s="7" t="inlineStr">
        <is>
          <t>TC-39</t>
        </is>
      </c>
      <c r="B87" s="7" t="n">
        <v>1</v>
      </c>
      <c r="C87" s="7" t="inlineStr">
        <is>
          <t>Abrir el sistema en un ancho de unos 375 px.</t>
        </is>
      </c>
      <c r="D87" s="7" t="inlineStr">
        <is>
          <t>viewport: 375 px</t>
        </is>
      </c>
      <c r="E87" s="7" t="inlineStr">
        <is>
          <t>El menú lateral queda oculto y se muestra un botón de hamburguesa.</t>
        </is>
      </c>
    </row>
    <row r="88">
      <c r="A88" s="7" t="inlineStr">
        <is>
          <t>TC-39</t>
        </is>
      </c>
      <c r="B88" s="7" t="n">
        <v>2</v>
      </c>
      <c r="C88" s="7" t="inlineStr">
        <is>
          <t>Observar el contenido principal.</t>
        </is>
      </c>
      <c r="D88" s="7" t="inlineStr">
        <is>
          <t>—</t>
        </is>
      </c>
      <c r="E88" s="7" t="inlineStr">
        <is>
          <t>El contenido usa todo el ancho disponible de la pantalla.</t>
        </is>
      </c>
    </row>
    <row r="89">
      <c r="A89" s="7" t="inlineStr">
        <is>
          <t>TC-40</t>
        </is>
      </c>
      <c r="B89" s="7" t="n">
        <v>1</v>
      </c>
      <c r="C89" s="7" t="inlineStr">
        <is>
          <t>Hacer clic en el botón de hamburguesa.</t>
        </is>
      </c>
      <c r="D89" s="7" t="inlineStr">
        <is>
          <t>—</t>
        </is>
      </c>
      <c r="E89" s="7" t="inlineStr">
        <is>
          <t>Se abre el menú lateral.</t>
        </is>
      </c>
    </row>
    <row r="90">
      <c r="A90" s="7" t="inlineStr">
        <is>
          <t>TC-40</t>
        </is>
      </c>
      <c r="B90" s="7" t="n">
        <v>2</v>
      </c>
      <c r="C90" s="7" t="inlineStr">
        <is>
          <t>Elegir otra sección del menú.</t>
        </is>
      </c>
      <c r="D90" s="7" t="inlineStr">
        <is>
          <t>—</t>
        </is>
      </c>
      <c r="E90" s="7" t="inlineStr">
        <is>
          <t>El sistema navega a la sección elegida y el menú lateral se cierra automáticamente.</t>
        </is>
      </c>
    </row>
  </sheetData>
  <autoFilter ref="A1:E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34" customWidth="1" min="3" max="3"/>
    <col width="50" customWidth="1" min="4" max="4"/>
    <col width="44" customWidth="1" min="5" max="5"/>
    <col width="34" customWidth="1" min="6" max="6"/>
    <col width="18" customWidth="1" min="7" max="7"/>
    <col width="60" customWidth="1" min="8" max="8"/>
    <col width="70" customWidth="1" min="9" max="9"/>
    <col width="12" customWidth="1" min="10" max="10"/>
    <col width="14" customWidth="1" min="11" max="11"/>
    <col width="18" customWidth="1" min="12" max="12"/>
  </cols>
  <sheetData>
    <row r="1">
      <c r="A1" s="6" t="inlineStr">
        <is>
          <t>ID</t>
        </is>
      </c>
      <c r="B1" s="6" t="inlineStr">
        <is>
          <t>Sprint</t>
        </is>
      </c>
      <c r="C1" s="6" t="inlineStr">
        <is>
          <t>Módulo</t>
        </is>
      </c>
      <c r="D1" s="6" t="inlineStr">
        <is>
          <t>Título</t>
        </is>
      </c>
      <c r="E1" s="6" t="inlineStr">
        <is>
          <t>Description</t>
        </is>
      </c>
      <c r="F1" s="6" t="inlineStr">
        <is>
          <t>Pre-conditions</t>
        </is>
      </c>
      <c r="G1" s="6" t="inlineStr">
        <is>
          <t>Jira Requirement</t>
        </is>
      </c>
      <c r="H1" s="6" t="inlineStr">
        <is>
          <t>Pasos (Paso → Esperamos)</t>
        </is>
      </c>
      <c r="I1" s="6" t="inlineStr">
        <is>
          <t>Test (xUnit)</t>
        </is>
      </c>
      <c r="J1" s="6" t="inlineStr">
        <is>
          <t>Estado</t>
        </is>
      </c>
      <c r="K1" s="6" t="inlineStr">
        <is>
          <t>Fecha de ejecución</t>
        </is>
      </c>
      <c r="L1" s="6" t="inlineStr">
        <is>
          <t>Ejecutó</t>
        </is>
      </c>
    </row>
    <row r="2">
      <c r="A2" s="7" t="inlineStr">
        <is>
          <t>TA-001</t>
        </is>
      </c>
      <c r="B2" s="7" t="inlineStr">
        <is>
          <t>Sprint 1-2</t>
        </is>
      </c>
      <c r="C2" s="7" t="inlineStr">
        <is>
          <t>Pruebas automatizadas — Registro, sesión y cuentas (EP-03)</t>
        </is>
      </c>
      <c r="D2" s="7" t="inlineStr">
        <is>
          <t>Validar que el registro con datos válidos responda 201 Created</t>
        </is>
      </c>
      <c r="E2" s="7" t="inlineStr">
        <is>
          <t>Registrar con email y password válidos crea la cuenta (201).</t>
        </is>
      </c>
      <c r="F2" s="7" t="inlineStr">
        <is>
          <t>API levantada con WebApplicationFactory. El email a registrar no existe.</t>
        </is>
      </c>
      <c r="G2" s="7" t="inlineStr">
        <is>
          <t>SCRUM-12</t>
        </is>
      </c>
      <c r="H2" s="7" t="inlineStr">
        <is>
          <t>1. Enviar POST /api/auth/register con nombre, apellido, email y contraseña válidos  →  La API crea la cuenta y responde 201 Created</t>
        </is>
      </c>
      <c r="I2" s="7" t="inlineStr">
        <is>
          <t>Vicaria.IntegrationTests › AuthControllerTests › Register_ConDatosValidos_Retorna201</t>
        </is>
      </c>
      <c r="J2" s="7" t="inlineStr">
        <is>
          <t>OK</t>
        </is>
      </c>
      <c r="K2" s="7" t="inlineStr">
        <is>
          <t>2026-10-14</t>
        </is>
      </c>
      <c r="L2" s="7" t="inlineStr">
        <is>
          <t>Suite automatizada</t>
        </is>
      </c>
    </row>
    <row r="3">
      <c r="A3" s="7" t="inlineStr">
        <is>
          <t>TA-002</t>
        </is>
      </c>
      <c r="B3" s="7" t="inlineStr">
        <is>
          <t>Sprint 1-2</t>
        </is>
      </c>
      <c r="C3" s="7" t="inlineStr">
        <is>
          <t>Pruebas automatizadas — Registro, sesión y cuentas (EP-03)</t>
        </is>
      </c>
      <c r="D3" s="7" t="inlineStr">
        <is>
          <t>Validar que el registro con un email mal formado sea rechazado</t>
        </is>
      </c>
      <c r="E3" s="7" t="inlineStr">
        <is>
          <t>Un email con formato inválido se rechaza (400).</t>
        </is>
      </c>
      <c r="F3" s="7" t="inlineStr">
        <is>
          <t>API levantada con WebApplicationFactory.</t>
        </is>
      </c>
      <c r="G3" s="7" t="inlineStr">
        <is>
          <t>SCRUM-12</t>
        </is>
      </c>
      <c r="H3" s="7" t="inlineStr">
        <is>
          <t>1. Enviar POST /api/auth/register con un email sin formato válido  →  La API rechaza el registro y responde 400 Bad Request</t>
        </is>
      </c>
      <c r="I3" s="7" t="inlineStr">
        <is>
          <t>Vicaria.IntegrationTests › AuthControllerTests › Register_ConEmailInvalido_Retorna400</t>
        </is>
      </c>
      <c r="J3" s="7" t="inlineStr">
        <is>
          <t>OK</t>
        </is>
      </c>
      <c r="K3" s="7" t="inlineStr">
        <is>
          <t>2026-10-14</t>
        </is>
      </c>
      <c r="L3" s="7" t="inlineStr">
        <is>
          <t>Suite automatizada</t>
        </is>
      </c>
    </row>
    <row r="4">
      <c r="A4" s="7" t="inlineStr">
        <is>
          <t>TA-003</t>
        </is>
      </c>
      <c r="B4" s="7" t="inlineStr">
        <is>
          <t>Sprint 1-2</t>
        </is>
      </c>
      <c r="C4" s="7" t="inlineStr">
        <is>
          <t>Pruebas automatizadas — Registro, sesión y cuentas (EP-03)</t>
        </is>
      </c>
      <c r="D4" s="7" t="inlineStr">
        <is>
          <t>Validar que el registro con una contraseña demasiado corta sea rechazado</t>
        </is>
      </c>
      <c r="E4" s="7" t="inlineStr">
        <is>
          <t>Una contraseña por debajo del mínimo se rechaza (400).</t>
        </is>
      </c>
      <c r="F4" s="7" t="inlineStr">
        <is>
          <t>API levantada con WebApplicationFactory.</t>
        </is>
      </c>
      <c r="G4" s="7" t="inlineStr">
        <is>
          <t>SCRUM-12</t>
        </is>
      </c>
      <c r="H4" s="7" t="inlineStr">
        <is>
          <t>1. Enviar POST /api/auth/register con una contraseña por debajo del mínimo  →  La API rechaza el registro y responde 400 Bad Request</t>
        </is>
      </c>
      <c r="I4" s="7" t="inlineStr">
        <is>
          <t>Vicaria.IntegrationTests › AuthControllerTests › Register_ConPasswordCorta_Retorna400</t>
        </is>
      </c>
      <c r="J4" s="7" t="inlineStr">
        <is>
          <t>OK</t>
        </is>
      </c>
      <c r="K4" s="7" t="inlineStr">
        <is>
          <t>2026-10-14</t>
        </is>
      </c>
      <c r="L4" s="7" t="inlineStr">
        <is>
          <t>Suite automatizada</t>
        </is>
      </c>
    </row>
    <row r="5">
      <c r="A5" s="7" t="inlineStr">
        <is>
          <t>TA-004</t>
        </is>
      </c>
      <c r="B5" s="7" t="inlineStr">
        <is>
          <t>Sprint 1-2</t>
        </is>
      </c>
      <c r="C5" s="7" t="inlineStr">
        <is>
          <t>Pruebas automatizadas — Registro, sesión y cuentas (EP-03)</t>
        </is>
      </c>
      <c r="D5" s="7" t="inlineStr">
        <is>
          <t>Validar que registrar dos veces el mismo email devuelva conflicto</t>
        </is>
      </c>
      <c r="E5" s="7" t="inlineStr">
        <is>
          <t>Registrar con un email ya existente devuelve conflicto (409).</t>
        </is>
      </c>
      <c r="F5" s="7" t="inlineStr">
        <is>
          <t>API levantada con WebApplicationFactory.</t>
        </is>
      </c>
      <c r="G5" s="7" t="inlineStr">
        <is>
          <t>SCRUM-12</t>
        </is>
      </c>
      <c r="H5" s="7" t="inlineStr">
        <is>
          <t>1. Registrar una cuenta con un email nuevo  →  La cuenta se crea (201)
2. Repetir el registro con el mismo email  →  La API responde 409 Conflict</t>
        </is>
      </c>
      <c r="I5" s="7" t="inlineStr">
        <is>
          <t>Vicaria.IntegrationTests › AuthControllerTests › Register_ConEmailYaRegistrado_Retorna409</t>
        </is>
      </c>
      <c r="J5" s="7" t="inlineStr">
        <is>
          <t>OK</t>
        </is>
      </c>
      <c r="K5" s="7" t="inlineStr">
        <is>
          <t>2026-10-14</t>
        </is>
      </c>
      <c r="L5" s="7" t="inlineStr">
        <is>
          <t>Suite automatizada</t>
        </is>
      </c>
    </row>
    <row r="6">
      <c r="A6" s="7" t="inlineStr">
        <is>
          <t>TA-005</t>
        </is>
      </c>
      <c r="B6" s="7" t="inlineStr">
        <is>
          <t>Sprint 1-2</t>
        </is>
      </c>
      <c r="C6" s="7" t="inlineStr">
        <is>
          <t>Pruebas automatizadas — Registro, sesión y cuentas (EP-03)</t>
        </is>
      </c>
      <c r="D6" s="7" t="inlineStr">
        <is>
          <t>Validar que consultar el perfil propio sin token no esté autorizado</t>
        </is>
      </c>
      <c r="E6" s="7" t="inlineStr">
        <is>
          <t>Consultar el perfil propio sin token no autoriza (401).</t>
        </is>
      </c>
      <c r="F6" s="7" t="inlineStr">
        <is>
          <t>API levantada con WebApplicationFactory. El cliente no envía token.</t>
        </is>
      </c>
      <c r="G6" s="7" t="inlineStr">
        <is>
          <t>SCRUM-33</t>
        </is>
      </c>
      <c r="H6" s="7" t="inlineStr">
        <is>
          <t>1. Enviar GET /api/auth/me sin encabezado de autorización  →  La API responde 401 Unauthorized</t>
        </is>
      </c>
      <c r="I6" s="7" t="inlineStr">
        <is>
          <t>Vicaria.IntegrationTests › AuthMeEndpointTests › Me_SinToken_Retorna401</t>
        </is>
      </c>
      <c r="J6" s="7" t="inlineStr">
        <is>
          <t>OK</t>
        </is>
      </c>
      <c r="K6" s="7" t="inlineStr">
        <is>
          <t>2026-10-14</t>
        </is>
      </c>
      <c r="L6" s="7" t="inlineStr">
        <is>
          <t>Suite automatizada</t>
        </is>
      </c>
    </row>
    <row r="7">
      <c r="A7" s="7" t="inlineStr">
        <is>
          <t>TA-006</t>
        </is>
      </c>
      <c r="B7" s="7" t="inlineStr">
        <is>
          <t>Sprint 1-2</t>
        </is>
      </c>
      <c r="C7" s="7" t="inlineStr">
        <is>
          <t>Pruebas automatizadas — Registro, sesión y cuentas (EP-03)</t>
        </is>
      </c>
      <c r="D7" s="7" t="inlineStr">
        <is>
          <t>Validar que un token inválido no permita consultar el perfil propio</t>
        </is>
      </c>
      <c r="E7" s="7" t="inlineStr">
        <is>
          <t>Un token inválido tampoco autoriza (401).</t>
        </is>
      </c>
      <c r="F7" s="7" t="inlineStr">
        <is>
          <t>API levantada con WebApplicationFactory.</t>
        </is>
      </c>
      <c r="G7" s="7" t="inlineStr">
        <is>
          <t>SCRUM-33</t>
        </is>
      </c>
      <c r="H7" s="7" t="inlineStr">
        <is>
          <t>1. Enviar GET /api/auth/me con un Bearer token inválido  →  La API responde 401 Unauthorized</t>
        </is>
      </c>
      <c r="I7" s="7" t="inlineStr">
        <is>
          <t>Vicaria.IntegrationTests › AuthMeEndpointTests › Me_ConTokenInvalido_Retorna401</t>
        </is>
      </c>
      <c r="J7" s="7" t="inlineStr">
        <is>
          <t>OK</t>
        </is>
      </c>
      <c r="K7" s="7" t="inlineStr">
        <is>
          <t>2026-10-14</t>
        </is>
      </c>
      <c r="L7" s="7" t="inlineStr">
        <is>
          <t>Suite automatizada</t>
        </is>
      </c>
    </row>
    <row r="8">
      <c r="A8" s="7" t="inlineStr">
        <is>
          <t>TA-007</t>
        </is>
      </c>
      <c r="B8" s="7" t="inlineStr">
        <is>
          <t>Sprint 1-2</t>
        </is>
      </c>
      <c r="C8" s="7" t="inlineStr">
        <is>
          <t>Pruebas automatizadas — Registro, sesión y cuentas (EP-03)</t>
        </is>
      </c>
      <c r="D8" s="7" t="inlineStr">
        <is>
          <t>Validar que con un token válido se devuelvan los datos del usuario logueado</t>
        </is>
      </c>
      <c r="E8" s="7" t="inlineStr">
        <is>
          <t>Con un token válido devuelve los datos del usuario logueado (200).</t>
        </is>
      </c>
      <c r="F8" s="7" t="inlineStr">
        <is>
          <t>Existe en la base un usuario activo con rol Directora de Casa de Convivencia y un JWT válido emitido para él.</t>
        </is>
      </c>
      <c r="G8" s="7" t="inlineStr">
        <is>
          <t>SCRUM-33</t>
        </is>
      </c>
      <c r="H8" s="7" t="inlineStr">
        <is>
          <t>1. Enviar GET /api/auth/me con el token válido  →  La API responde 200 OK
2. Revisar el cuerpo de la respuesta  →  Se devuelven los datos y el rol del usuario logueado</t>
        </is>
      </c>
      <c r="I8" s="7" t="inlineStr">
        <is>
          <t>Vicaria.IntegrationTests › AuthMeEndpointTests › Me_ConTokenValido_Retorna200ConLasClaims</t>
        </is>
      </c>
      <c r="J8" s="7" t="inlineStr">
        <is>
          <t>OK</t>
        </is>
      </c>
      <c r="K8" s="7" t="inlineStr">
        <is>
          <t>2026-10-14</t>
        </is>
      </c>
      <c r="L8" s="7" t="inlineStr">
        <is>
          <t>Suite automatizada</t>
        </is>
      </c>
    </row>
    <row r="9">
      <c r="A9" s="7" t="inlineStr">
        <is>
          <t>TA-008</t>
        </is>
      </c>
      <c r="B9" s="7" t="inlineStr">
        <is>
          <t>Sprint 1-2</t>
        </is>
      </c>
      <c r="C9" s="7" t="inlineStr">
        <is>
          <t>Pruebas automatizadas — Registro, sesión y cuentas (EP-03)</t>
        </is>
      </c>
      <c r="D9" s="7" t="inlineStr">
        <is>
          <t>Validar que un usuario sin rol Referente no pueda listar cuentas pendientes</t>
        </is>
      </c>
      <c r="E9" s="7" t="inlineStr">
        <is>
          <t>Listar cuentas pendientes sin ser Referente no autoriza (403).</t>
        </is>
      </c>
      <c r="F9" s="7" t="inlineStr">
        <is>
          <t>Usuario autenticado con rol Escucha, existente en la base.</t>
        </is>
      </c>
      <c r="G9" s="7" t="inlineStr">
        <is>
          <t>SCRUM-12</t>
        </is>
      </c>
      <c r="H9" s="7" t="inlineStr">
        <is>
          <t>1. Enviar GET /api/auth/users/pending con el token del rol Escucha  →  La API responde 403 Forbidden</t>
        </is>
      </c>
      <c r="I9" s="7" t="inlineStr">
        <is>
          <t>Vicaria.IntegrationTests › UserApprovalEndpointTests › Pending_SinRolReferente_Retorna403</t>
        </is>
      </c>
      <c r="J9" s="7" t="inlineStr">
        <is>
          <t>OK</t>
        </is>
      </c>
      <c r="K9" s="7" t="inlineStr">
        <is>
          <t>2026-10-14</t>
        </is>
      </c>
      <c r="L9" s="7" t="inlineStr">
        <is>
          <t>Suite automatizada</t>
        </is>
      </c>
    </row>
    <row r="10">
      <c r="A10" s="7" t="inlineStr">
        <is>
          <t>TA-009</t>
        </is>
      </c>
      <c r="B10" s="7" t="inlineStr">
        <is>
          <t>Sprint 1-2</t>
        </is>
      </c>
      <c r="C10" s="7" t="inlineStr">
        <is>
          <t>Pruebas automatizadas — Registro, sesión y cuentas (EP-03)</t>
        </is>
      </c>
      <c r="D10" s="7" t="inlineStr">
        <is>
          <t>Validar que un Referente vea en pendientes a la cuenta recién registrada</t>
        </is>
      </c>
      <c r="E10" s="7" t="inlineStr">
        <is>
          <t>Un Referente ve en el listado a la cuenta recién registrada.</t>
        </is>
      </c>
      <c r="F10" s="7" t="inlineStr">
        <is>
          <t>Existe una cuenta recién registrada en estado Pendiente. Usuario autenticado con rol Referente.</t>
        </is>
      </c>
      <c r="G10" s="7" t="inlineStr">
        <is>
          <t>SCRUM-12</t>
        </is>
      </c>
      <c r="H10" s="7" t="inlineStr">
        <is>
          <t>1. Enviar GET /api/auth/users/pending con el token del Referente  →  La API responde 200 OK
2. Revisar el listado devuelto  →  El listado incluye la cuenta recién registrada</t>
        </is>
      </c>
      <c r="I10" s="7" t="inlineStr">
        <is>
          <t>Vicaria.IntegrationTests › UserApprovalEndpointTests › Pending_ConRolReferente_IncluyeElUsuarioRecienRegistrado</t>
        </is>
      </c>
      <c r="J10" s="7" t="inlineStr">
        <is>
          <t>OK</t>
        </is>
      </c>
      <c r="K10" s="7" t="inlineStr">
        <is>
          <t>2026-10-14</t>
        </is>
      </c>
      <c r="L10" s="7" t="inlineStr">
        <is>
          <t>Suite automatizada</t>
        </is>
      </c>
    </row>
    <row r="11">
      <c r="A11" s="7" t="inlineStr">
        <is>
          <t>TA-010</t>
        </is>
      </c>
      <c r="B11" s="7" t="inlineStr">
        <is>
          <t>Sprint 1-2</t>
        </is>
      </c>
      <c r="C11" s="7" t="inlineStr">
        <is>
          <t>Pruebas automatizadas — Registro, sesión y cuentas (EP-03)</t>
        </is>
      </c>
      <c r="D11" s="7" t="inlineStr">
        <is>
          <t>Validar que aprobar un usuario inexistente devuelva 404</t>
        </is>
      </c>
      <c r="E11" s="7" t="inlineStr">
        <is>
          <t>Aprobar un usuario inexistente devuelve 404.</t>
        </is>
      </c>
      <c r="F11" s="7" t="inlineStr">
        <is>
          <t>Usuario autenticado con rol Referente. Existe al menos un rol sembrado.</t>
        </is>
      </c>
      <c r="G11" s="7" t="inlineStr">
        <is>
          <t>SCRUM-12</t>
        </is>
      </c>
      <c r="H11" s="7" t="inlineStr">
        <is>
          <t>1. Enviar POST /api/auth/users/{id}/approve con un id que no existe  →  La API responde 404 Not Found</t>
        </is>
      </c>
      <c r="I11" s="7" t="inlineStr">
        <is>
          <t>Vicaria.IntegrationTests › UserApprovalEndpointTests › Approve_UsuarioNoExiste_Retorna404</t>
        </is>
      </c>
      <c r="J11" s="7" t="inlineStr">
        <is>
          <t>OK</t>
        </is>
      </c>
      <c r="K11" s="7" t="inlineStr">
        <is>
          <t>2026-10-14</t>
        </is>
      </c>
      <c r="L11" s="7" t="inlineStr">
        <is>
          <t>Suite automatizada</t>
        </is>
      </c>
    </row>
    <row r="12">
      <c r="A12" s="7" t="inlineStr">
        <is>
          <t>TA-011</t>
        </is>
      </c>
      <c r="B12" s="7" t="inlineStr">
        <is>
          <t>Sprint 1-2</t>
        </is>
      </c>
      <c r="C12" s="7" t="inlineStr">
        <is>
          <t>Pruebas automatizadas — Registro, sesión y cuentas (EP-03)</t>
        </is>
      </c>
      <c r="D12" s="7" t="inlineStr">
        <is>
          <t>Validar que un usuario que no es Referente no pueda aprobar cuentas</t>
        </is>
      </c>
      <c r="E12" s="7" t="inlineStr">
        <is>
          <t>Aprobar sin ser Referente no autoriza (403).</t>
        </is>
      </c>
      <c r="F12" s="7" t="inlineStr">
        <is>
          <t>Existe una cuenta Pendiente. Usuario autenticado con rol Directora de Casa de Convivencia.</t>
        </is>
      </c>
      <c r="G12" s="7" t="inlineStr">
        <is>
          <t>SCRUM-12</t>
        </is>
      </c>
      <c r="H12" s="7" t="inlineStr">
        <is>
          <t>1. Enviar POST /api/auth/users/{id}/approve con el token de la Directora  →  La API responde 403 Forbidden</t>
        </is>
      </c>
      <c r="I12" s="7" t="inlineStr">
        <is>
          <t>Vicaria.IntegrationTests › UserApprovalEndpointTests › Approve_SinRolReferente_Retorna403</t>
        </is>
      </c>
      <c r="J12" s="7" t="inlineStr">
        <is>
          <t>OK</t>
        </is>
      </c>
      <c r="K12" s="7" t="inlineStr">
        <is>
          <t>2026-10-14</t>
        </is>
      </c>
      <c r="L12" s="7" t="inlineStr">
        <is>
          <t>Suite automatizada</t>
        </is>
      </c>
    </row>
    <row r="13">
      <c r="A13" s="7" t="inlineStr">
        <is>
          <t>TA-012</t>
        </is>
      </c>
      <c r="B13" s="7" t="inlineStr">
        <is>
          <t>Sprint 1-2</t>
        </is>
      </c>
      <c r="C13" s="7" t="inlineStr">
        <is>
          <t>Pruebas automatizadas — Registro, sesión y cuentas (EP-03)</t>
        </is>
      </c>
      <c r="D13" s="7" t="inlineStr">
        <is>
          <t>Validar que un Referente pueda aprobar una cuenta pendiente con un rol válido</t>
        </is>
      </c>
      <c r="E13" s="7" t="inlineStr">
        <is>
          <t>Aprobar con Referente y rol válido confirma la operación (204).</t>
        </is>
      </c>
      <c r="F13" s="7" t="inlineStr">
        <is>
          <t>Existe una cuenta Pendiente. Usuario autenticado con rol Referente.</t>
        </is>
      </c>
      <c r="G13" s="7" t="inlineStr">
        <is>
          <t>SCRUM-12</t>
        </is>
      </c>
      <c r="H13" s="7" t="inlineStr">
        <is>
          <t>1. Enviar POST /api/auth/users/{id}/approve indicando un rol existente  →  La API responde 204 No Content</t>
        </is>
      </c>
      <c r="I13" s="7" t="inlineStr">
        <is>
          <t>Vicaria.IntegrationTests › UserApprovalEndpointTests › Approve_ConRolReferenteYRolValido_Retorna204</t>
        </is>
      </c>
      <c r="J13" s="7" t="inlineStr">
        <is>
          <t>OK</t>
        </is>
      </c>
      <c r="K13" s="7" t="inlineStr">
        <is>
          <t>2026-10-14</t>
        </is>
      </c>
      <c r="L13" s="7" t="inlineStr">
        <is>
          <t>Suite automatizada</t>
        </is>
      </c>
    </row>
    <row r="14">
      <c r="A14" s="7" t="inlineStr">
        <is>
          <t>TA-013</t>
        </is>
      </c>
      <c r="B14" s="7" t="inlineStr">
        <is>
          <t>Sprint 1-2</t>
        </is>
      </c>
      <c r="C14" s="7" t="inlineStr">
        <is>
          <t>Pruebas automatizadas — Registro, sesión y cuentas (EP-03)</t>
        </is>
      </c>
      <c r="D14" s="7" t="inlineStr">
        <is>
          <t>Validar que aprobar dos veces la misma cuenta devuelva conflicto</t>
        </is>
      </c>
      <c r="E14" s="7" t="inlineStr">
        <is>
          <t>Aprobar una cuenta ya aprobada devuelve conflicto (409).</t>
        </is>
      </c>
      <c r="F14" s="7" t="inlineStr">
        <is>
          <t>Existe una cuenta Pendiente. Usuario autenticado con rol Referente.</t>
        </is>
      </c>
      <c r="G14" s="7" t="inlineStr">
        <is>
          <t>SCRUM-12</t>
        </is>
      </c>
      <c r="H14" s="7" t="inlineStr">
        <is>
          <t>1. Aprobar la cuenta pendiente  →  La cuenta queda aprobada
2. Volver a aprobar la misma cuenta  →  La API responde 409 Conflict</t>
        </is>
      </c>
      <c r="I14" s="7" t="inlineStr">
        <is>
          <t>Vicaria.IntegrationTests › UserApprovalEndpointTests › Approve_UsuarioYaAprobado_Retorna409</t>
        </is>
      </c>
      <c r="J14" s="7" t="inlineStr">
        <is>
          <t>OK</t>
        </is>
      </c>
      <c r="K14" s="7" t="inlineStr">
        <is>
          <t>2026-10-14</t>
        </is>
      </c>
      <c r="L14" s="7" t="inlineStr">
        <is>
          <t>Suite automatizada</t>
        </is>
      </c>
    </row>
    <row r="15">
      <c r="A15" s="7" t="inlineStr">
        <is>
          <t>TA-014</t>
        </is>
      </c>
      <c r="B15" s="7" t="inlineStr">
        <is>
          <t>Sprint 1-2</t>
        </is>
      </c>
      <c r="C15" s="7" t="inlineStr">
        <is>
          <t>Pruebas automatizadas — Registro, sesión y cuentas (EP-03)</t>
        </is>
      </c>
      <c r="D15" s="7" t="inlineStr">
        <is>
          <t>Validar que un Referente pueda rechazar una cuenta indicando el motivo</t>
        </is>
      </c>
      <c r="E15" s="7" t="inlineStr">
        <is>
          <t>Rechazar una cuenta con motivo confirma la operación (204).</t>
        </is>
      </c>
      <c r="F15" s="7" t="inlineStr">
        <is>
          <t>Existe una cuenta Pendiente. Usuario autenticado con rol Referente.</t>
        </is>
      </c>
      <c r="G15" s="7" t="inlineStr">
        <is>
          <t>SCRUM-12</t>
        </is>
      </c>
      <c r="H15" s="7" t="inlineStr">
        <is>
          <t>1. Enviar POST /api/auth/users/{id}/reject con un motivo  →  La API responde 204 No Content</t>
        </is>
      </c>
      <c r="I15" s="7" t="inlineStr">
        <is>
          <t>Vicaria.IntegrationTests › UserApprovalEndpointTests › Reject_ConMotivo_Retorna204</t>
        </is>
      </c>
      <c r="J15" s="7" t="inlineStr">
        <is>
          <t>OK</t>
        </is>
      </c>
      <c r="K15" s="7" t="inlineStr">
        <is>
          <t>2026-10-14</t>
        </is>
      </c>
      <c r="L15" s="7" t="inlineStr">
        <is>
          <t>Suite automatizada</t>
        </is>
      </c>
    </row>
    <row r="16">
      <c r="A16" s="7" t="inlineStr">
        <is>
          <t>TA-015</t>
        </is>
      </c>
      <c r="B16" s="7" t="inlineStr">
        <is>
          <t>Sprint 1-2</t>
        </is>
      </c>
      <c r="C16" s="7" t="inlineStr">
        <is>
          <t>Pruebas automatizadas — Registro, sesión y cuentas (EP-03)</t>
        </is>
      </c>
      <c r="D16" s="7" t="inlineStr">
        <is>
          <t>Validar que rechazar una cuenta sin motivo sea rechazado</t>
        </is>
      </c>
      <c r="E16" s="7" t="inlineStr">
        <is>
          <t>Rechazar sin indicar motivo se rechaza (400).</t>
        </is>
      </c>
      <c r="F16" s="7" t="inlineStr">
        <is>
          <t>Existe una cuenta Pendiente. Usuario autenticado con rol Referente.</t>
        </is>
      </c>
      <c r="G16" s="7" t="inlineStr">
        <is>
          <t>SCRUM-12</t>
        </is>
      </c>
      <c r="H16" s="7" t="inlineStr">
        <is>
          <t>1. Enviar POST /api/auth/users/{id}/reject con el motivo vacío  →  La API responde 400 Bad Request</t>
        </is>
      </c>
      <c r="I16" s="7" t="inlineStr">
        <is>
          <t>Vicaria.IntegrationTests › UserApprovalEndpointTests › Reject_SinMotivo_Retorna400</t>
        </is>
      </c>
      <c r="J16" s="7" t="inlineStr">
        <is>
          <t>OK</t>
        </is>
      </c>
      <c r="K16" s="7" t="inlineStr">
        <is>
          <t>2026-10-14</t>
        </is>
      </c>
      <c r="L16" s="7" t="inlineStr">
        <is>
          <t>Suite automatizada</t>
        </is>
      </c>
    </row>
    <row r="17">
      <c r="A17" s="7" t="inlineStr">
        <is>
          <t>TA-016</t>
        </is>
      </c>
      <c r="B17" s="7" t="inlineStr">
        <is>
          <t>Sprint 1-2</t>
        </is>
      </c>
      <c r="C17" s="7" t="inlineStr">
        <is>
          <t>Pruebas automatizadas — Registro, sesión y cuentas (EP-03)</t>
        </is>
      </c>
      <c r="D17" s="7" t="inlineStr">
        <is>
          <t>Validar que el listado de pendientes excluya a las cuentas ya aprobadas</t>
        </is>
      </c>
      <c r="E17" s="7" t="inlineStr">
        <is>
          <t>El listado de pendientes no incluye cuentas ya aprobadas o rechazadas.</t>
        </is>
      </c>
      <c r="F17" s="7" t="inlineStr">
        <is>
          <t>Existen dos cuentas: una Pendiente y otra Activa.</t>
        </is>
      </c>
      <c r="G17" s="7" t="inlineStr">
        <is>
          <t>SCRUM-12</t>
        </is>
      </c>
      <c r="H17" s="7" t="inlineStr">
        <is>
          <t>1. Consultar el listado de usuarios pendientes  →  Se devuelve un único elemento
2. Comparar con la cuenta Pendiente  →  El elemento devuelto es la cuenta Pendiente, no la Activa</t>
        </is>
      </c>
      <c r="I17" s="7" t="inlineStr">
        <is>
          <t>Vicaria.UnitTests › AuthServiceApprovalTests › GetPendingUsersAsync_DevuelveSoloLosPendientes</t>
        </is>
      </c>
      <c r="J17" s="7" t="inlineStr">
        <is>
          <t>OK</t>
        </is>
      </c>
      <c r="K17" s="7" t="inlineStr">
        <is>
          <t>2026-10-14</t>
        </is>
      </c>
      <c r="L17" s="7" t="inlineStr">
        <is>
          <t>Suite automatizada</t>
        </is>
      </c>
    </row>
    <row r="18">
      <c r="A18" s="7" t="inlineStr">
        <is>
          <t>TA-017</t>
        </is>
      </c>
      <c r="B18" s="7" t="inlineStr">
        <is>
          <t>Sprint 1-2</t>
        </is>
      </c>
      <c r="C18" s="7" t="inlineStr">
        <is>
          <t>Pruebas automatizadas — Registro, sesión y cuentas (EP-03)</t>
        </is>
      </c>
      <c r="D18" s="7" t="inlineStr">
        <is>
          <t>Validar que el listado de usuarios activos se pagine correctamente</t>
        </is>
      </c>
      <c r="E18" s="7" t="inlineStr">
        <is>
          <t>El listado de usuarios activos página correctamente.</t>
        </is>
      </c>
      <c r="F18" s="7" t="inlineStr">
        <is>
          <t>Existen 12 cuentas activas.</t>
        </is>
      </c>
      <c r="G18" s="7" t="inlineStr">
        <is>
          <t>SCRUM-20</t>
        </is>
      </c>
      <c r="H18" s="7" t="inlineStr">
        <is>
          <t>1. Consultar el listado de activos pidiendo la página 2  →  El total informado es 12 y hay 2 páginas
2. Contar los elementos de la página 2  →  La página 2 trae 2 elementos</t>
        </is>
      </c>
      <c r="I18" s="7" t="inlineStr">
        <is>
          <t>Vicaria.UnitTests › AuthServiceApprovalTests › GetActiveUsersAsync_Pagina</t>
        </is>
      </c>
      <c r="J18" s="7" t="inlineStr">
        <is>
          <t>OK</t>
        </is>
      </c>
      <c r="K18" s="7" t="inlineStr">
        <is>
          <t>2026-10-14</t>
        </is>
      </c>
      <c r="L18" s="7" t="inlineStr">
        <is>
          <t>Suite automatizada</t>
        </is>
      </c>
    </row>
    <row r="19">
      <c r="A19" s="7" t="inlineStr">
        <is>
          <t>TA-018</t>
        </is>
      </c>
      <c r="B19" s="7" t="inlineStr">
        <is>
          <t>Sprint 1-2</t>
        </is>
      </c>
      <c r="C19" s="7" t="inlineStr">
        <is>
          <t>Pruebas automatizadas — Registro, sesión y cuentas (EP-03)</t>
        </is>
      </c>
      <c r="D19" s="7" t="inlineStr">
        <is>
          <t>Validar que el listado de pendientes se pueda filtrar por fecha de registro</t>
        </is>
      </c>
      <c r="E19" s="7" t="inlineStr">
        <is>
          <t>El listado de pendientes se puede filtrar por rango de fecha.</t>
        </is>
      </c>
      <c r="F19" s="7" t="inlineStr">
        <is>
          <t>Existen dos cuentas Pendientes: una registrada hace 10 días y otra reciente.</t>
        </is>
      </c>
      <c r="G19" s="7" t="inlineStr">
        <is>
          <t>SCRUM-12</t>
        </is>
      </c>
      <c r="H19" s="7" t="inlineStr">
        <is>
          <t>1. Consultar pendientes con fecha desde = ayer  →  Se devuelve un único elemento
2. Comparar con las cuentas creadas  →  El elemento es la cuenta reciente</t>
        </is>
      </c>
      <c r="I19" s="7" t="inlineStr">
        <is>
          <t>Vicaria.UnitTests › AuthServiceApprovalTests › GetPendingUsersAsync_FiltraPorRangoDeFecha</t>
        </is>
      </c>
      <c r="J19" s="7" t="inlineStr">
        <is>
          <t>OK</t>
        </is>
      </c>
      <c r="K19" s="7" t="inlineStr">
        <is>
          <t>2026-10-14</t>
        </is>
      </c>
      <c r="L19" s="7" t="inlineStr">
        <is>
          <t>Suite automatizada</t>
        </is>
      </c>
    </row>
    <row r="20">
      <c r="A20" s="7" t="inlineStr">
        <is>
          <t>TA-019</t>
        </is>
      </c>
      <c r="B20" s="7" t="inlineStr">
        <is>
          <t>Sprint 1-2</t>
        </is>
      </c>
      <c r="C20" s="7" t="inlineStr">
        <is>
          <t>Pruebas automatizadas — Registro, sesión y cuentas (EP-03)</t>
        </is>
      </c>
      <c r="D20" s="7" t="inlineStr">
        <is>
          <t>Validar que aprobar asigne el rol elegido y pase la cuenta a Activa</t>
        </is>
      </c>
      <c r="E20" s="7" t="inlineStr">
        <is>
          <t>Aprobar asigna el rol elegido y cambia el estado a activo.</t>
        </is>
      </c>
      <c r="F20" s="7" t="inlineStr">
        <is>
          <t>Existe una cuenta Pendiente y un rol sembrado.</t>
        </is>
      </c>
      <c r="G20" s="7" t="inlineStr">
        <is>
          <t>SCRUM-12</t>
        </is>
      </c>
      <c r="H20" s="7" t="inlineStr">
        <is>
          <t>1. Aprobar la cuenta indicando el rol  →  La operación es exitosa
2. Consultar la cuenta en la base  →  La cuenta queda Activa con el rol asignado</t>
        </is>
      </c>
      <c r="I20" s="7" t="inlineStr">
        <is>
          <t>Vicaria.UnitTests › AuthServiceApprovalTests › ApproveUserAsync_ConDatosValidos_AsignaRolYCambiaEstado</t>
        </is>
      </c>
      <c r="J20" s="7" t="inlineStr">
        <is>
          <t>OK</t>
        </is>
      </c>
      <c r="K20" s="7" t="inlineStr">
        <is>
          <t>2026-10-14</t>
        </is>
      </c>
      <c r="L20" s="7" t="inlineStr">
        <is>
          <t>Suite automatizada</t>
        </is>
      </c>
    </row>
    <row r="21">
      <c r="A21" s="7" t="inlineStr">
        <is>
          <t>TA-020</t>
        </is>
      </c>
      <c r="B21" s="7" t="inlineStr">
        <is>
          <t>Sprint 1-2</t>
        </is>
      </c>
      <c r="C21" s="7" t="inlineStr">
        <is>
          <t>Pruebas automatizadas — Registro, sesión y cuentas (EP-03)</t>
        </is>
      </c>
      <c r="D21" s="7" t="inlineStr">
        <is>
          <t>Validar que aprobar deje un registro de auditoría con actor y acción</t>
        </is>
      </c>
      <c r="E21" s="7" t="inlineStr">
        <is>
          <t>Aprobar deja un AuditLog con el actor y la acción.</t>
        </is>
      </c>
      <c r="F21" s="7" t="inlineStr">
        <is>
          <t>Existe una cuenta Pendiente y un rol sembrado.</t>
        </is>
      </c>
      <c r="G21" s="7" t="inlineStr">
        <is>
          <t>SCRUM-12</t>
        </is>
      </c>
      <c r="H21" s="7" t="inlineStr">
        <is>
          <t>1. Aprobar la cuenta indicando el actor que aprueba  →  La operación finaliza
2. Revisar la tabla de auditoría  →  Hay un único AuditLog con el actor y la cuenta afectada</t>
        </is>
      </c>
      <c r="I21" s="7" t="inlineStr">
        <is>
          <t>Vicaria.UnitTests › AuthServiceApprovalTests › ApproveUserAsync_RegistraAuditLog</t>
        </is>
      </c>
      <c r="J21" s="7" t="inlineStr">
        <is>
          <t>OK</t>
        </is>
      </c>
      <c r="K21" s="7" t="inlineStr">
        <is>
          <t>2026-10-14</t>
        </is>
      </c>
      <c r="L21" s="7" t="inlineStr">
        <is>
          <t>Suite automatizada</t>
        </is>
      </c>
    </row>
    <row r="22">
      <c r="A22" s="7" t="inlineStr">
        <is>
          <t>TA-021</t>
        </is>
      </c>
      <c r="B22" s="7" t="inlineStr">
        <is>
          <t>Sprint 1-2</t>
        </is>
      </c>
      <c r="C22" s="7" t="inlineStr">
        <is>
          <t>Pruebas automatizadas — Registro, sesión y cuentas (EP-03)</t>
        </is>
      </c>
      <c r="D22" s="7" t="inlineStr">
        <is>
          <t>Validar que aprobar un usuario inexistente devuelva el error UserNotFound</t>
        </is>
      </c>
      <c r="E22" s="7" t="inlineStr">
        <is>
          <t>Aprobar un usuario inexistente devuelve el error correspondiente.</t>
        </is>
      </c>
      <c r="F22" s="7" t="inlineStr">
        <is>
          <t>Existe un rol sembrado. No existe la cuenta a aprobar.</t>
        </is>
      </c>
      <c r="G22" s="7" t="inlineStr">
        <is>
          <t>SCRUM-12</t>
        </is>
      </c>
      <c r="H22" s="7" t="inlineStr">
        <is>
          <t>1. Aprobar un id inexistente  →  La operación no es exitosa y devuelve UserNotFound</t>
        </is>
      </c>
      <c r="I22" s="7" t="inlineStr">
        <is>
          <t>Vicaria.UnitTests › AuthServiceApprovalTests › ApproveUserAsync_UsuarioNoExiste_RetornaUsuarioNoEncontrado</t>
        </is>
      </c>
      <c r="J22" s="7" t="inlineStr">
        <is>
          <t>OK</t>
        </is>
      </c>
      <c r="K22" s="7" t="inlineStr">
        <is>
          <t>2026-10-14</t>
        </is>
      </c>
      <c r="L22" s="7" t="inlineStr">
        <is>
          <t>Suite automatizada</t>
        </is>
      </c>
    </row>
    <row r="23">
      <c r="A23" s="7" t="inlineStr">
        <is>
          <t>TA-022</t>
        </is>
      </c>
      <c r="B23" s="7" t="inlineStr">
        <is>
          <t>Sprint 1-2</t>
        </is>
      </c>
      <c r="C23" s="7" t="inlineStr">
        <is>
          <t>Pruebas automatizadas — Registro, sesión y cuentas (EP-03)</t>
        </is>
      </c>
      <c r="D23" s="7" t="inlineStr">
        <is>
          <t>Validar que aprobar con un rol inexistente devuelva el error InvalidRole</t>
        </is>
      </c>
      <c r="E23" s="7" t="inlineStr">
        <is>
          <t>Aprobar con un rol que no existe devuelve error de rol inválido.</t>
        </is>
      </c>
      <c r="F23" s="7" t="inlineStr">
        <is>
          <t>Existe una cuenta Pendiente. El rol a asignar no existe.</t>
        </is>
      </c>
      <c r="G23" s="7" t="inlineStr">
        <is>
          <t>SCRUM-12</t>
        </is>
      </c>
      <c r="H23" s="7" t="inlineStr">
        <is>
          <t>1. Aprobar la cuenta con un id de rol inexistente  →  La operación no es exitosa y devuelve InvalidRole</t>
        </is>
      </c>
      <c r="I23" s="7" t="inlineStr">
        <is>
          <t>Vicaria.UnitTests › AuthServiceApprovalTests › ApproveUserAsync_RolNoExiste_RetornaRolInvalido</t>
        </is>
      </c>
      <c r="J23" s="7" t="inlineStr">
        <is>
          <t>OK</t>
        </is>
      </c>
      <c r="K23" s="7" t="inlineStr">
        <is>
          <t>2026-10-14</t>
        </is>
      </c>
      <c r="L23" s="7" t="inlineStr">
        <is>
          <t>Suite automatizada</t>
        </is>
      </c>
    </row>
    <row r="24">
      <c r="A24" s="7" t="inlineStr">
        <is>
          <t>TA-023</t>
        </is>
      </c>
      <c r="B24" s="7" t="inlineStr">
        <is>
          <t>Sprint 1-2</t>
        </is>
      </c>
      <c r="C24" s="7" t="inlineStr">
        <is>
          <t>Pruebas automatizadas — Registro, sesión y cuentas (EP-03)</t>
        </is>
      </c>
      <c r="D24" s="7" t="inlineStr">
        <is>
          <t>Validar que aprobar dos veces una cuenta devuelva el error InvalidState</t>
        </is>
      </c>
      <c r="E24" s="7" t="inlineStr">
        <is>
          <t>Aprobar dos veces devuelve error de estado inválido.</t>
        </is>
      </c>
      <c r="F24" s="7" t="inlineStr">
        <is>
          <t>Existe una cuenta Pendiente y un rol sembrado.</t>
        </is>
      </c>
      <c r="G24" s="7" t="inlineStr">
        <is>
          <t>SCRUM-12</t>
        </is>
      </c>
      <c r="H24" s="7" t="inlineStr">
        <is>
          <t>1. Aprobar la cuenta  →  La primera aprobación es exitosa
2. Aprobar la misma cuenta otra vez  →  La operación no es exitosa y devuelve InvalidState</t>
        </is>
      </c>
      <c r="I24" s="7" t="inlineStr">
        <is>
          <t>Vicaria.UnitTests › AuthServiceApprovalTests › ApproveUserAsync_UsuarioYaAprobado_RetornaEstadoInvalido</t>
        </is>
      </c>
      <c r="J24" s="7" t="inlineStr">
        <is>
          <t>OK</t>
        </is>
      </c>
      <c r="K24" s="7" t="inlineStr">
        <is>
          <t>2026-10-14</t>
        </is>
      </c>
      <c r="L24" s="7" t="inlineStr">
        <is>
          <t>Suite automatizada</t>
        </is>
      </c>
    </row>
    <row r="25">
      <c r="A25" s="7" t="inlineStr">
        <is>
          <t>TA-024</t>
        </is>
      </c>
      <c r="B25" s="7" t="inlineStr">
        <is>
          <t>Sprint 1-2</t>
        </is>
      </c>
      <c r="C25" s="7" t="inlineStr">
        <is>
          <t>Pruebas automatizadas — Registro, sesión y cuentas (EP-03)</t>
        </is>
      </c>
      <c r="D25" s="7" t="inlineStr">
        <is>
          <t>Validar que rechazar con motivo deje la cuenta en estado Rechazada</t>
        </is>
      </c>
      <c r="E25" s="7" t="inlineStr">
        <is>
          <t>Rechazar con motivo deja la cuenta en estado Rechazado.</t>
        </is>
      </c>
      <c r="F25" s="7" t="inlineStr">
        <is>
          <t>Existe una cuenta Pendiente.</t>
        </is>
      </c>
      <c r="G25" s="7" t="inlineStr">
        <is>
          <t>SCRUM-12</t>
        </is>
      </c>
      <c r="H25" s="7" t="inlineStr">
        <is>
          <t>1. Rechazar la cuenta indicando un motivo  →  La operación es exitosa
2. Consultar la cuenta en la base  →  El estado de la cuenta es Rejected</t>
        </is>
      </c>
      <c r="I25" s="7" t="inlineStr">
        <is>
          <t>Vicaria.UnitTests › AuthServiceApprovalTests › RejectUserAsync_ConMotivo_CambiaEstadoARechazado</t>
        </is>
      </c>
      <c r="J25" s="7" t="inlineStr">
        <is>
          <t>OK</t>
        </is>
      </c>
      <c r="K25" s="7" t="inlineStr">
        <is>
          <t>2026-10-14</t>
        </is>
      </c>
      <c r="L25" s="7" t="inlineStr">
        <is>
          <t>Suite automatizada</t>
        </is>
      </c>
    </row>
    <row r="26">
      <c r="A26" s="7" t="inlineStr">
        <is>
          <t>TA-025</t>
        </is>
      </c>
      <c r="B26" s="7" t="inlineStr">
        <is>
          <t>Sprint 1-2</t>
        </is>
      </c>
      <c r="C26" s="7" t="inlineStr">
        <is>
          <t>Pruebas automatizadas — Registro, sesión y cuentas (EP-03)</t>
        </is>
      </c>
      <c r="D26" s="7" t="inlineStr">
        <is>
          <t>Validar que el rechazo deje un registro de auditoría que incluya el motivo</t>
        </is>
      </c>
      <c r="E26" s="7" t="inlineStr">
        <is>
          <t>Rechazar deja un AuditLog que incluye el motivo.</t>
        </is>
      </c>
      <c r="F26" s="7" t="inlineStr">
        <is>
          <t>Existe una cuenta Pendiente.</t>
        </is>
      </c>
      <c r="G26" s="7" t="inlineStr">
        <is>
          <t>SCRUM-12</t>
        </is>
      </c>
      <c r="H26" s="7" t="inlineStr">
        <is>
          <t>1. Rechazar la cuenta con un motivo  →  La operación finaliza
2. Revisar la tabla de auditoría  →  Hay un único AuditLog cuya acción contiene el motivo</t>
        </is>
      </c>
      <c r="I26" s="7" t="inlineStr">
        <is>
          <t>Vicaria.UnitTests › AuthServiceApprovalTests › RejectUserAsync_RegistraAuditLogConMotivo</t>
        </is>
      </c>
      <c r="J26" s="7" t="inlineStr">
        <is>
          <t>OK</t>
        </is>
      </c>
      <c r="K26" s="7" t="inlineStr">
        <is>
          <t>2026-10-14</t>
        </is>
      </c>
      <c r="L26" s="7" t="inlineStr">
        <is>
          <t>Suite automatizada</t>
        </is>
      </c>
    </row>
    <row r="27">
      <c r="A27" s="7" t="inlineStr">
        <is>
          <t>TA-026</t>
        </is>
      </c>
      <c r="B27" s="7" t="inlineStr">
        <is>
          <t>Sprint 1-2</t>
        </is>
      </c>
      <c r="C27" s="7" t="inlineStr">
        <is>
          <t>Pruebas automatizadas — Registro, sesión y cuentas (EP-03)</t>
        </is>
      </c>
      <c r="D27" s="7" t="inlineStr">
        <is>
          <t>Validar que rechazar un usuario inexistente devuelva el error UserNotFound</t>
        </is>
      </c>
      <c r="E27" s="7" t="inlineStr">
        <is>
          <t>Rechazar un usuario inexistente devuelve el error correspondiente.</t>
        </is>
      </c>
      <c r="F27" s="7" t="inlineStr">
        <is>
          <t>No existe la cuenta a rechazar.</t>
        </is>
      </c>
      <c r="G27" s="7" t="inlineStr">
        <is>
          <t>SCRUM-12</t>
        </is>
      </c>
      <c r="H27" s="7" t="inlineStr">
        <is>
          <t>1. Rechazar un id inexistente  →  La operación no es exitosa y devuelve UserNotFound</t>
        </is>
      </c>
      <c r="I27" s="7" t="inlineStr">
        <is>
          <t>Vicaria.UnitTests › AuthServiceApprovalTests › RejectUserAsync_UsuarioNoExiste_RetornaUsuarioNoEncontrado</t>
        </is>
      </c>
      <c r="J27" s="7" t="inlineStr">
        <is>
          <t>OK</t>
        </is>
      </c>
      <c r="K27" s="7" t="inlineStr">
        <is>
          <t>2026-10-14</t>
        </is>
      </c>
      <c r="L27" s="7" t="inlineStr">
        <is>
          <t>Suite automatizada</t>
        </is>
      </c>
    </row>
    <row r="28">
      <c r="A28" s="7" t="inlineStr">
        <is>
          <t>TA-027</t>
        </is>
      </c>
      <c r="B28" s="7" t="inlineStr">
        <is>
          <t>Sprint 1-2</t>
        </is>
      </c>
      <c r="C28" s="7" t="inlineStr">
        <is>
          <t>Pruebas automatizadas — Registro, sesión y cuentas (EP-03)</t>
        </is>
      </c>
      <c r="D28" s="7" t="inlineStr">
        <is>
          <t>Validar que rechazar dos veces una cuenta devuelva el error InvalidState</t>
        </is>
      </c>
      <c r="E28" s="7" t="inlineStr">
        <is>
          <t>Rechazar dos veces devuelve error de estado inválido.</t>
        </is>
      </c>
      <c r="F28" s="7" t="inlineStr">
        <is>
          <t>Existe una cuenta Pendiente.</t>
        </is>
      </c>
      <c r="G28" s="7" t="inlineStr">
        <is>
          <t>SCRUM-12</t>
        </is>
      </c>
      <c r="H28" s="7" t="inlineStr">
        <is>
          <t>1. Rechazar la cuenta con un motivo  →  La primera operación es exitosa
2. Rechazar la misma cuenta con otro motivo  →  La operación no es exitosa y devuelve InvalidState</t>
        </is>
      </c>
      <c r="I28" s="7" t="inlineStr">
        <is>
          <t>Vicaria.UnitTests › AuthServiceApprovalTests › RejectUserAsync_UsuarioYaRechazado_RetornaEstadoInvalido</t>
        </is>
      </c>
      <c r="J28" s="7" t="inlineStr">
        <is>
          <t>OK</t>
        </is>
      </c>
      <c r="K28" s="7" t="inlineStr">
        <is>
          <t>2026-10-14</t>
        </is>
      </c>
      <c r="L28" s="7" t="inlineStr">
        <is>
          <t>Suite automatizada</t>
        </is>
      </c>
    </row>
    <row r="29">
      <c r="A29" s="7" t="inlineStr">
        <is>
          <t>TA-028</t>
        </is>
      </c>
      <c r="B29" s="7" t="inlineStr">
        <is>
          <t>Sprint 1-2</t>
        </is>
      </c>
      <c r="C29" s="7" t="inlineStr">
        <is>
          <t>Pruebas automatizadas — Registro, sesión y cuentas (EP-03)</t>
        </is>
      </c>
      <c r="D29" s="7" t="inlineStr">
        <is>
          <t>Validar que un login correcto devuelva el JWT y los datos del usuario</t>
        </is>
      </c>
      <c r="E29" s="7" t="inlineStr">
        <is>
          <t>Login correcto devuelve el JWT y los datos del usuario.</t>
        </is>
      </c>
      <c r="F29" s="7" t="inlineStr">
        <is>
          <t>Existe una cuenta Activa con contraseña conocida.</t>
        </is>
      </c>
      <c r="G29" s="7" t="inlineStr">
        <is>
          <t>SCRUM-33</t>
        </is>
      </c>
      <c r="H29" s="7" t="inlineStr">
        <is>
          <t>1. Iniciar sesión con el email y la contraseña correctos  →  El login es exitoso
2. Revisar el resultado  →  Se devuelve un token JWT no vacío y los datos del usuario</t>
        </is>
      </c>
      <c r="I29" s="7" t="inlineStr">
        <is>
          <t>Vicaria.UnitTests › AuthServiceLoginTests › LoginAsync_ConCredencialesValidas_DevuelveTokenYUsuario</t>
        </is>
      </c>
      <c r="J29" s="7" t="inlineStr">
        <is>
          <t>OK</t>
        </is>
      </c>
      <c r="K29" s="7" t="inlineStr">
        <is>
          <t>2026-10-14</t>
        </is>
      </c>
      <c r="L29" s="7" t="inlineStr">
        <is>
          <t>Suite automatizada</t>
        </is>
      </c>
    </row>
    <row r="30">
      <c r="A30" s="7" t="inlineStr">
        <is>
          <t>TA-029</t>
        </is>
      </c>
      <c r="B30" s="7" t="inlineStr">
        <is>
          <t>Sprint 1-2</t>
        </is>
      </c>
      <c r="C30" s="7" t="inlineStr">
        <is>
          <t>Pruebas automatizadas — Registro, sesión y cuentas (EP-03)</t>
        </is>
      </c>
      <c r="D30" s="7" t="inlineStr">
        <is>
          <t>Validar que una contraseña incorrecta devuelva credenciales inválidas</t>
        </is>
      </c>
      <c r="E30" s="7" t="inlineStr">
        <is>
          <t>Password incorrecta devuelve credenciales inválidas.</t>
        </is>
      </c>
      <c r="F30" s="7" t="inlineStr">
        <is>
          <t>Existe una cuenta Activa.</t>
        </is>
      </c>
      <c r="G30" s="7" t="inlineStr">
        <is>
          <t>SCRUM-33</t>
        </is>
      </c>
      <c r="H30" s="7" t="inlineStr">
        <is>
          <t>1. Iniciar sesión con el email correcto y otra contraseña  →  El login falla con InvalidCredentials y no se devuelve token</t>
        </is>
      </c>
      <c r="I30" s="7" t="inlineStr">
        <is>
          <t>Vicaria.UnitTests › AuthServiceLoginTests › LoginAsync_ConPasswordIncorrecto_DevuelveCredencialesInvalidas</t>
        </is>
      </c>
      <c r="J30" s="7" t="inlineStr">
        <is>
          <t>OK</t>
        </is>
      </c>
      <c r="K30" s="7" t="inlineStr">
        <is>
          <t>2026-10-14</t>
        </is>
      </c>
      <c r="L30" s="7" t="inlineStr">
        <is>
          <t>Suite automatizada</t>
        </is>
      </c>
    </row>
    <row r="31">
      <c r="A31" s="7" t="inlineStr">
        <is>
          <t>TA-030</t>
        </is>
      </c>
      <c r="B31" s="7" t="inlineStr">
        <is>
          <t>Sprint 1-2</t>
        </is>
      </c>
      <c r="C31" s="7" t="inlineStr">
        <is>
          <t>Pruebas automatizadas — Registro, sesión y cuentas (EP-03)</t>
        </is>
      </c>
      <c r="D31" s="7" t="inlineStr">
        <is>
          <t>Validar que un email no registrado devuelva el mismo error genérico</t>
        </is>
      </c>
      <c r="E31" s="7" t="inlineStr">
        <is>
          <t>Un email no registrado devuelve el mismo error genérico (no revela si el email existe).</t>
        </is>
      </c>
      <c r="F31" s="7" t="inlineStr">
        <is>
          <t>No existe ninguna cuenta con el email a usar.</t>
        </is>
      </c>
      <c r="G31" s="7" t="inlineStr">
        <is>
          <t>SCRUM-33</t>
        </is>
      </c>
      <c r="H31" s="7" t="inlineStr">
        <is>
          <t>1. Iniciar sesión con un email que no existe  →  El login falla con InvalidCredentials (no se revela si el email existe)</t>
        </is>
      </c>
      <c r="I31" s="7" t="inlineStr">
        <is>
          <t>Vicaria.UnitTests › AuthServiceLoginTests › LoginAsync_ConEmailInexistente_DevuelveCredencialesInvalidas</t>
        </is>
      </c>
      <c r="J31" s="7" t="inlineStr">
        <is>
          <t>OK</t>
        </is>
      </c>
      <c r="K31" s="7" t="inlineStr">
        <is>
          <t>2026-10-14</t>
        </is>
      </c>
      <c r="L31" s="7" t="inlineStr">
        <is>
          <t>Suite automatizada</t>
        </is>
      </c>
    </row>
    <row r="32">
      <c r="A32" s="7" t="inlineStr">
        <is>
          <t>TA-031</t>
        </is>
      </c>
      <c r="B32" s="7" t="inlineStr">
        <is>
          <t>Sprint 1-2</t>
        </is>
      </c>
      <c r="C32" s="7" t="inlineStr">
        <is>
          <t>Pruebas automatizadas — Registro, sesión y cuentas (EP-03)</t>
        </is>
      </c>
      <c r="D32" s="7" t="inlineStr">
        <is>
          <t>Validar que una cuenta pendiente no pueda iniciar sesión</t>
        </is>
      </c>
      <c r="E32" s="7" t="inlineStr">
        <is>
          <t>Loguearse con una cuenta todavía pendiente devuelve cuenta no aprobada.</t>
        </is>
      </c>
      <c r="F32" s="7" t="inlineStr">
        <is>
          <t>Existe una cuenta en estado Pendiente.</t>
        </is>
      </c>
      <c r="G32" s="7" t="inlineStr">
        <is>
          <t>SCRUM-33</t>
        </is>
      </c>
      <c r="H32" s="7" t="inlineStr">
        <is>
          <t>1. Iniciar sesión con las credenciales correctas de la cuenta pendiente  →  El login falla con AccountNotApproved
2. Revisar el estado informado  →  El estado devuelto es "Pending"</t>
        </is>
      </c>
      <c r="I32" s="7" t="inlineStr">
        <is>
          <t>Vicaria.UnitTests › AuthServiceLoginTests › LoginAsync_ConUsuarioPendiente_DevuelveAccountNotApprovedConEstadoPending</t>
        </is>
      </c>
      <c r="J32" s="7" t="inlineStr">
        <is>
          <t>OK</t>
        </is>
      </c>
      <c r="K32" s="7" t="inlineStr">
        <is>
          <t>2026-10-14</t>
        </is>
      </c>
      <c r="L32" s="7" t="inlineStr">
        <is>
          <t>Suite automatizada</t>
        </is>
      </c>
    </row>
    <row r="33">
      <c r="A33" s="7" t="inlineStr">
        <is>
          <t>TA-032</t>
        </is>
      </c>
      <c r="B33" s="7" t="inlineStr">
        <is>
          <t>Sprint 1-2</t>
        </is>
      </c>
      <c r="C33" s="7" t="inlineStr">
        <is>
          <t>Pruebas automatizadas — Registro, sesión y cuentas (EP-03)</t>
        </is>
      </c>
      <c r="D33" s="7" t="inlineStr">
        <is>
          <t>Validar que 5 intentos fallidos seguidos bloqueen la cuenta</t>
        </is>
      </c>
      <c r="E33" s="7" t="inlineStr">
        <is>
          <t>5 intentos fallidos seguidos bloquean la cuenta.</t>
        </is>
      </c>
      <c r="F33" s="7" t="inlineStr">
        <is>
          <t>Existe una cuenta Activa.</t>
        </is>
      </c>
      <c r="G33" s="7" t="inlineStr">
        <is>
          <t>SCRUM-33</t>
        </is>
      </c>
      <c r="H33" s="7" t="inlineStr">
        <is>
          <t>1. Intentar iniciar sesión 5 veces con contraseña incorrecta  →  Cada intento falla
2. Iniciar sesión con la contraseña correcta  →  El login falla porque la cuenta está bloqueada</t>
        </is>
      </c>
      <c r="I33" s="7" t="inlineStr">
        <is>
          <t>Vicaria.UnitTests › AuthServiceLoginTests › LoginAsync_Con5PasswordsIncorrectos_BloqueaLaCuenta</t>
        </is>
      </c>
      <c r="J33" s="7" t="inlineStr">
        <is>
          <t>OK</t>
        </is>
      </c>
      <c r="K33" s="7" t="inlineStr">
        <is>
          <t>2026-10-14</t>
        </is>
      </c>
      <c r="L33" s="7" t="inlineStr">
        <is>
          <t>Suite automatizada</t>
        </is>
      </c>
    </row>
    <row r="34">
      <c r="A34" s="7" t="inlineStr">
        <is>
          <t>TA-033</t>
        </is>
      </c>
      <c r="B34" s="7" t="inlineStr">
        <is>
          <t>Sprint 1-2</t>
        </is>
      </c>
      <c r="C34" s="7" t="inlineStr">
        <is>
          <t>Pruebas automatizadas — Registro, sesión y cuentas (EP-03)</t>
        </is>
      </c>
      <c r="D34" s="7" t="inlineStr">
        <is>
          <t>Validar que el bloqueo genere una notificación para los Referentes</t>
        </is>
      </c>
      <c r="E34" s="7" t="inlineStr">
        <is>
          <t>El bloqueo genera una notificación interna a los Referentes.</t>
        </is>
      </c>
      <c r="F34" s="7" t="inlineStr">
        <is>
          <t>Existe un Referente activo y una cuenta Activa a bloquear.</t>
        </is>
      </c>
      <c r="G34" s="7" t="inlineStr">
        <is>
          <t>SCRUM-22, SCRUM-33</t>
        </is>
      </c>
      <c r="H34" s="7" t="inlineStr">
        <is>
          <t>1. Intentar iniciar sesión 5 veces con contraseña incorrecta  →  La cuenta queda bloqueada
2. Revisar las notificaciones  →  Se genera una notificación interna dirigida a los Referentes</t>
        </is>
      </c>
      <c r="I34" s="7" t="inlineStr">
        <is>
          <t>Vicaria.UnitTests › AuthServiceLoginTests › LoginAsync_Con5PasswordsIncorrectos_NotificaALosReferentes</t>
        </is>
      </c>
      <c r="J34" s="7" t="inlineStr">
        <is>
          <t>OK</t>
        </is>
      </c>
      <c r="K34" s="7" t="inlineStr">
        <is>
          <t>2026-10-14</t>
        </is>
      </c>
      <c r="L34" s="7" t="inlineStr">
        <is>
          <t>Suite automatizada</t>
        </is>
      </c>
    </row>
    <row r="35">
      <c r="A35" s="7" t="inlineStr">
        <is>
          <t>TA-034</t>
        </is>
      </c>
      <c r="B35" s="7" t="inlineStr">
        <is>
          <t>Sprint 1-2</t>
        </is>
      </c>
      <c r="C35" s="7" t="inlineStr">
        <is>
          <t>Pruebas automatizadas — Registro, sesión y cuentas (EP-03)</t>
        </is>
      </c>
      <c r="D35" s="7" t="inlineStr">
        <is>
          <t>Validar que un login exitoso reinicie el contador de intentos fallidos</t>
        </is>
      </c>
      <c r="E35" s="7" t="inlineStr">
        <is>
          <t>Un login exitoso reinicia el contador de intentos fallidos.</t>
        </is>
      </c>
      <c r="F35" s="7" t="inlineStr">
        <is>
          <t>Existe una cuenta Activa con un intento fallido previo.</t>
        </is>
      </c>
      <c r="G35" s="7" t="inlineStr">
        <is>
          <t>SCRUM-33</t>
        </is>
      </c>
      <c r="H35" s="7" t="inlineStr">
        <is>
          <t>1. Iniciar sesión con contraseña incorrecta  →  El intento falla y se suma uno al contador
2. Iniciar sesión con la contraseña correcta  →  El login es exitoso y los intentos fallidos vuelven a cero</t>
        </is>
      </c>
      <c r="I35" s="7" t="inlineStr">
        <is>
          <t>Vicaria.UnitTests › AuthServiceLoginTests › LoginAsync_ConLoginCorrecto_ReseteaIntentosFallidosPrevios</t>
        </is>
      </c>
      <c r="J35" s="7" t="inlineStr">
        <is>
          <t>OK</t>
        </is>
      </c>
      <c r="K35" s="7" t="inlineStr">
        <is>
          <t>2026-10-14</t>
        </is>
      </c>
      <c r="L35" s="7" t="inlineStr">
        <is>
          <t>Suite automatizada</t>
        </is>
      </c>
    </row>
    <row r="36">
      <c r="A36" s="7" t="inlineStr">
        <is>
          <t>TA-035</t>
        </is>
      </c>
      <c r="B36" s="7" t="inlineStr">
        <is>
          <t>Sprint 1-2</t>
        </is>
      </c>
      <c r="C36" s="7" t="inlineStr">
        <is>
          <t>Pruebas automatizadas — Registro, sesión y cuentas (EP-03)</t>
        </is>
      </c>
      <c r="D36" s="7" t="inlineStr">
        <is>
          <t>Validar que el login devuelva también un refresh token</t>
        </is>
      </c>
      <c r="E36" s="7" t="inlineStr">
        <is>
          <t>El login también devuelve un refresh token.</t>
        </is>
      </c>
      <c r="F36" s="7" t="inlineStr">
        <is>
          <t>Existe una cuenta Activa.</t>
        </is>
      </c>
      <c r="G36" s="7" t="inlineStr">
        <is>
          <t>SCRUM-33</t>
        </is>
      </c>
      <c r="H36" s="7" t="inlineStr">
        <is>
          <t>1. Iniciar sesión con credenciales correctas  →  El resultado incluye un refresh token no vacío</t>
        </is>
      </c>
      <c r="I36" s="7" t="inlineStr">
        <is>
          <t>Vicaria.UnitTests › AuthServiceLoginTests › LoginAsync_ConCredencialesValidas_DevuelveRefreshToken</t>
        </is>
      </c>
      <c r="J36" s="7" t="inlineStr">
        <is>
          <t>OK</t>
        </is>
      </c>
      <c r="K36" s="7" t="inlineStr">
        <is>
          <t>2026-10-14</t>
        </is>
      </c>
      <c r="L36" s="7" t="inlineStr">
        <is>
          <t>Suite automatizada</t>
        </is>
      </c>
    </row>
    <row r="37">
      <c r="A37" s="7" t="inlineStr">
        <is>
          <t>TA-036</t>
        </is>
      </c>
      <c r="B37" s="7" t="inlineStr">
        <is>
          <t>Sprint 1-2</t>
        </is>
      </c>
      <c r="C37" s="7" t="inlineStr">
        <is>
          <t>Pruebas automatizadas — Registro, sesión y cuentas (EP-03)</t>
        </is>
      </c>
      <c r="D37" s="7" t="inlineStr">
        <is>
          <t>Validar que renovar con un refresh token válido devuelva tokens nuevos</t>
        </is>
      </c>
      <c r="E37" s="7" t="inlineStr">
        <is>
          <t>Renovar con un refresh token válido devuelve un JWT y refresh token nuevos.</t>
        </is>
      </c>
      <c r="F37" s="7" t="inlineStr">
        <is>
          <t>Existe una cuenta Activa con una sesión iniciada (refresh token vigente).</t>
        </is>
      </c>
      <c r="G37" s="7" t="inlineStr">
        <is>
          <t>SCRUM-33</t>
        </is>
      </c>
      <c r="H37" s="7" t="inlineStr">
        <is>
          <t>1. Iniciar sesión y guardar el refresh token  →  Se obtiene un refresh token
2. Solicitar la renovación con ese refresh token  →  La operación es exitosa y devuelve un JWT y un refresh token nuevos</t>
        </is>
      </c>
      <c r="I37" s="7" t="inlineStr">
        <is>
          <t>Vicaria.UnitTests › AuthServiceLoginTests › RefreshTokenAsync_ConTokenValido_DevuelveTokensNuevos</t>
        </is>
      </c>
      <c r="J37" s="7" t="inlineStr">
        <is>
          <t>OK</t>
        </is>
      </c>
      <c r="K37" s="7" t="inlineStr">
        <is>
          <t>2026-10-14</t>
        </is>
      </c>
      <c r="L37" s="7" t="inlineStr">
        <is>
          <t>Suite automatizada</t>
        </is>
      </c>
    </row>
    <row r="38">
      <c r="A38" s="7" t="inlineStr">
        <is>
          <t>TA-037</t>
        </is>
      </c>
      <c r="B38" s="7" t="inlineStr">
        <is>
          <t>Sprint 1-2</t>
        </is>
      </c>
      <c r="C38" s="7" t="inlineStr">
        <is>
          <t>Pruebas automatizadas — Registro, sesión y cuentas (EP-03)</t>
        </is>
      </c>
      <c r="D38" s="7" t="inlineStr">
        <is>
          <t>Validar que un refresh token inexistente sea rechazado</t>
        </is>
      </c>
      <c r="E38" s="7" t="inlineStr">
        <is>
          <t>Renovar con un refresh token que no existe devuelve inválido.</t>
        </is>
      </c>
      <c r="F38" s="7" t="inlineStr">
        <is>
          <t>Ningún usuario tiene el refresh token a usar.</t>
        </is>
      </c>
      <c r="G38" s="7" t="inlineStr">
        <is>
          <t>SCRUM-33</t>
        </is>
      </c>
      <c r="H38" s="7" t="inlineStr">
        <is>
          <t>1. Solicitar la renovación con un token que no existe  →  La operación falla con InvalidRefreshToken</t>
        </is>
      </c>
      <c r="I38" s="7" t="inlineStr">
        <is>
          <t>Vicaria.UnitTests › AuthServiceLoginTests › RefreshTokenAsync_ConTokenInexistente_DevuelveInvalido</t>
        </is>
      </c>
      <c r="J38" s="7" t="inlineStr">
        <is>
          <t>OK</t>
        </is>
      </c>
      <c r="K38" s="7" t="inlineStr">
        <is>
          <t>2026-10-14</t>
        </is>
      </c>
      <c r="L38" s="7" t="inlineStr">
        <is>
          <t>Suite automatizada</t>
        </is>
      </c>
    </row>
    <row r="39">
      <c r="A39" s="7" t="inlineStr">
        <is>
          <t>TA-038</t>
        </is>
      </c>
      <c r="B39" s="7" t="inlineStr">
        <is>
          <t>Sprint 1-2</t>
        </is>
      </c>
      <c r="C39" s="7" t="inlineStr">
        <is>
          <t>Pruebas automatizadas — Registro, sesión y cuentas (EP-03)</t>
        </is>
      </c>
      <c r="D39" s="7" t="inlineStr">
        <is>
          <t>Validar que el logout invalide el refresh token del usuario</t>
        </is>
      </c>
      <c r="E39" s="7" t="inlineStr">
        <is>
          <t>El logout invalida el refresh token del usuario.</t>
        </is>
      </c>
      <c r="F39" s="7" t="inlineStr">
        <is>
          <t>Existe una cuenta Activa con sesión iniciada.</t>
        </is>
      </c>
      <c r="G39" s="7" t="inlineStr">
        <is>
          <t>SCRUM-33</t>
        </is>
      </c>
      <c r="H39" s="7" t="inlineStr">
        <is>
          <t>1. Iniciar sesión y luego cerrar sesión  →  El logout finaliza
2. Consultar al usuario en la base  →  El refresh token del usuario queda en null</t>
        </is>
      </c>
      <c r="I39" s="7" t="inlineStr">
        <is>
          <t>Vicaria.UnitTests › AuthServiceLoginTests › LogoutAsync_BorraElRefreshTokenDelUsuario</t>
        </is>
      </c>
      <c r="J39" s="7" t="inlineStr">
        <is>
          <t>OK</t>
        </is>
      </c>
      <c r="K39" s="7" t="inlineStr">
        <is>
          <t>2026-10-14</t>
        </is>
      </c>
      <c r="L39" s="7" t="inlineStr">
        <is>
          <t>Suite automatizada</t>
        </is>
      </c>
    </row>
    <row r="40">
      <c r="A40" s="7" t="inlineStr">
        <is>
          <t>TA-039</t>
        </is>
      </c>
      <c r="B40" s="7" t="inlineStr">
        <is>
          <t>Sprint 1-2</t>
        </is>
      </c>
      <c r="C40" s="7" t="inlineStr">
        <is>
          <t>Pruebas automatizadas — Registro, sesión y cuentas (EP-03)</t>
        </is>
      </c>
      <c r="D40" s="7" t="inlineStr">
        <is>
          <t>Validar que registrar con un email nuevo cree el usuario</t>
        </is>
      </c>
      <c r="E40" s="7" t="inlineStr">
        <is>
          <t>Registrar con un email nuevo crea el usuario correctamente.</t>
        </is>
      </c>
      <c r="F40" s="7" t="inlineStr">
        <is>
          <t>Base vacía; el email no existe.</t>
        </is>
      </c>
      <c r="G40" s="7" t="inlineStr">
        <is>
          <t>SCRUM-12</t>
        </is>
      </c>
      <c r="H40" s="7" t="inlineStr">
        <is>
          <t>1. Registrar una cuenta con un email nuevo  →  El resultado es exitoso y trae el id del usuario
2. Consultar la tabla de usuarios  →  Hay un único usuario con ese email</t>
        </is>
      </c>
      <c r="I40" s="7" t="inlineStr">
        <is>
          <t>Vicaria.UnitTests › AuthServiceTests › RegisterAsync_ConEmailNuevo_CreaUsuarioYRetornaSuccess</t>
        </is>
      </c>
      <c r="J40" s="7" t="inlineStr">
        <is>
          <t>OK</t>
        </is>
      </c>
      <c r="K40" s="7" t="inlineStr">
        <is>
          <t>2026-10-14</t>
        </is>
      </c>
      <c r="L40" s="7" t="inlineStr">
        <is>
          <t>Suite automatizada</t>
        </is>
      </c>
    </row>
    <row r="41">
      <c r="A41" s="7" t="inlineStr">
        <is>
          <t>TA-040</t>
        </is>
      </c>
      <c r="B41" s="7" t="inlineStr">
        <is>
          <t>Sprint 1-2</t>
        </is>
      </c>
      <c r="C41" s="7" t="inlineStr">
        <is>
          <t>Pruebas automatizadas — Registro, sesión y cuentas (EP-03)</t>
        </is>
      </c>
      <c r="D41" s="7" t="inlineStr">
        <is>
          <t>Validar que la contraseña se guarde hasheada con BCrypt</t>
        </is>
      </c>
      <c r="E41" s="7" t="inlineStr">
        <is>
          <t>La contraseña se guarda hasheada con BCrypt, no en texto plano.</t>
        </is>
      </c>
      <c r="F41" s="7" t="inlineStr">
        <is>
          <t>Base vacía.</t>
        </is>
      </c>
      <c r="G41" s="7" t="inlineStr">
        <is>
          <t>SCRUM-12</t>
        </is>
      </c>
      <c r="H41" s="7" t="inlineStr">
        <is>
          <t>1. Registrar una cuenta con una contraseña  →  La cuenta se crea
2. Verificar la contraseña contra el hash guardado  →  BCrypt valida la contraseña; no se guarda en texto plano</t>
        </is>
      </c>
      <c r="I41" s="7" t="inlineStr">
        <is>
          <t>Vicaria.UnitTests › AuthServiceTests › RegisterAsync_ConPasswordValido_GuardaHashVerificableConBCrypt</t>
        </is>
      </c>
      <c r="J41" s="7" t="inlineStr">
        <is>
          <t>OK</t>
        </is>
      </c>
      <c r="K41" s="7" t="inlineStr">
        <is>
          <t>2026-10-14</t>
        </is>
      </c>
      <c r="L41" s="7" t="inlineStr">
        <is>
          <t>Suite automatizada</t>
        </is>
      </c>
    </row>
    <row r="42">
      <c r="A42" s="7" t="inlineStr">
        <is>
          <t>TA-041</t>
        </is>
      </c>
      <c r="B42" s="7" t="inlineStr">
        <is>
          <t>Sprint 1-2</t>
        </is>
      </c>
      <c r="C42" s="7" t="inlineStr">
        <is>
          <t>Pruebas automatizadas — Registro, sesión y cuentas (EP-03)</t>
        </is>
      </c>
      <c r="D42" s="7" t="inlineStr">
        <is>
          <t>Validar que registrar un email ya usado (sin distinguir mayúsculas) devuelva email duplicado</t>
        </is>
      </c>
      <c r="E42" s="7" t="inlineStr">
        <is>
          <t>Registrar con un email ya usado devuelve email duplicado.</t>
        </is>
      </c>
      <c r="F42" s="7" t="inlineStr">
        <is>
          <t>Existe una cuenta con el email ana@mail.com.</t>
        </is>
      </c>
      <c r="G42" s="7" t="inlineStr">
        <is>
          <t>SCRUM-12</t>
        </is>
      </c>
      <c r="H42" s="7" t="inlineStr">
        <is>
          <t>1. Registrar otra cuenta con el mismo email escrito distinto  →  El resultado no es exitoso y devuelve DuplicateEmail</t>
        </is>
      </c>
      <c r="I42" s="7" t="inlineStr">
        <is>
          <t>Vicaria.UnitTests › AuthServiceTests › RegisterAsync_ConEmailYaRegistrado_RetornaEmailDuplicado</t>
        </is>
      </c>
      <c r="J42" s="7" t="inlineStr">
        <is>
          <t>OK</t>
        </is>
      </c>
      <c r="K42" s="7" t="inlineStr">
        <is>
          <t>2026-10-14</t>
        </is>
      </c>
      <c r="L42" s="7" t="inlineStr">
        <is>
          <t>Suite automatizada</t>
        </is>
      </c>
    </row>
    <row r="43">
      <c r="A43" s="7" t="inlineStr">
        <is>
          <t>TA-042</t>
        </is>
      </c>
      <c r="B43" s="7" t="inlineStr">
        <is>
          <t>Sprint 1-2</t>
        </is>
      </c>
      <c r="C43" s="7" t="inlineStr">
        <is>
          <t>Pruebas automatizadas — Registro, sesión y cuentas (EP-03)</t>
        </is>
      </c>
      <c r="D43" s="7" t="inlineStr">
        <is>
          <t>Validar que el email se guarde normalizado en minúsculas</t>
        </is>
      </c>
      <c r="E43" s="7" t="inlineStr">
        <is>
          <t>El email se guarda normalizado en minúsculas.</t>
        </is>
      </c>
      <c r="F43" s="7" t="inlineStr">
        <is>
          <t>Base vacía.</t>
        </is>
      </c>
      <c r="G43" s="7" t="inlineStr">
        <is>
          <t>SCRUM-12</t>
        </is>
      </c>
      <c r="H43" s="7" t="inlineStr">
        <is>
          <t>1. Registrar una cuenta con el email en mayúsculas  →  La cuenta se crea
2. Consultar el usuario guardado  →  El email se guardó como ana@mail.com</t>
        </is>
      </c>
      <c r="I43" s="7" t="inlineStr">
        <is>
          <t>Vicaria.UnitTests › AuthServiceTests › RegisterAsync_NormalizaEmailAMinusculas</t>
        </is>
      </c>
      <c r="J43" s="7" t="inlineStr">
        <is>
          <t>OK</t>
        </is>
      </c>
      <c r="K43" s="7" t="inlineStr">
        <is>
          <t>2026-10-14</t>
        </is>
      </c>
      <c r="L43" s="7" t="inlineStr">
        <is>
          <t>Suite automatizada</t>
        </is>
      </c>
    </row>
    <row r="44">
      <c r="A44" s="7" t="inlineStr">
        <is>
          <t>TA-043</t>
        </is>
      </c>
      <c r="B44" s="7" t="inlineStr">
        <is>
          <t>Sprint 1-2</t>
        </is>
      </c>
      <c r="C44" s="7" t="inlineStr">
        <is>
          <t>Pruebas automatizadas — Registro, sesión y cuentas (EP-03)</t>
        </is>
      </c>
      <c r="D44" s="7" t="inlineStr">
        <is>
          <t>Validar que la cuenta nueva quede Pendiente hasta ser aprobada</t>
        </is>
      </c>
      <c r="E44" s="7" t="inlineStr">
        <is>
          <t>El usuario nuevo queda en estado Pendiente hasta ser aprobado.</t>
        </is>
      </c>
      <c r="F44" s="7" t="inlineStr">
        <is>
          <t>Base vacía.</t>
        </is>
      </c>
      <c r="G44" s="7" t="inlineStr">
        <is>
          <t>SCRUM-12</t>
        </is>
      </c>
      <c r="H44" s="7" t="inlineStr">
        <is>
          <t>1. Registrar una cuenta  →  La cuenta se crea
2. Consultar el estado del usuario  →  El estado es Pending</t>
        </is>
      </c>
      <c r="I44" s="7" t="inlineStr">
        <is>
          <t>Vicaria.UnitTests › AuthServiceTests › RegisterAsync_CreaUsuarioConEstadoPending</t>
        </is>
      </c>
      <c r="J44" s="7" t="inlineStr">
        <is>
          <t>OK</t>
        </is>
      </c>
      <c r="K44" s="7" t="inlineStr">
        <is>
          <t>2026-10-14</t>
        </is>
      </c>
      <c r="L44" s="7" t="inlineStr">
        <is>
          <t>Suite automatizada</t>
        </is>
      </c>
    </row>
    <row r="45">
      <c r="A45" s="7" t="inlineStr">
        <is>
          <t>TA-044</t>
        </is>
      </c>
      <c r="B45" s="7" t="inlineStr">
        <is>
          <t>Sprint 1-2</t>
        </is>
      </c>
      <c r="C45" s="7" t="inlineStr">
        <is>
          <t>Pruebas automatizadas — Registro, sesión y cuentas (EP-03)</t>
        </is>
      </c>
      <c r="D45" s="7" t="inlineStr">
        <is>
          <t>Validar que desactivar una cuenta activa la deje Inactiva</t>
        </is>
      </c>
      <c r="E45" s="7" t="inlineStr">
        <is>
          <t>Desactivar un usuario activo lo deja en estado Inactivo.</t>
        </is>
      </c>
      <c r="F45" s="7" t="inlineStr">
        <is>
          <t>Existe una cuenta Activa.</t>
        </is>
      </c>
      <c r="G45" s="7" t="inlineStr">
        <is>
          <t>SCRUM-20</t>
        </is>
      </c>
      <c r="H45" s="7" t="inlineStr">
        <is>
          <t>1. Desactivar la cuenta indicando el actor  →  La operación es exitosa
2. Consultar la cuenta  →  El estado es Inactive</t>
        </is>
      </c>
      <c r="I45" s="7" t="inlineStr">
        <is>
          <t>Vicaria.UnitTests › AuthServiceUserStatusTests › DeactivateUserAsync_ConUsuarioActivo_LoDejaInactivo</t>
        </is>
      </c>
      <c r="J45" s="7" t="inlineStr">
        <is>
          <t>OK</t>
        </is>
      </c>
      <c r="K45" s="7" t="inlineStr">
        <is>
          <t>2026-10-14</t>
        </is>
      </c>
      <c r="L45" s="7" t="inlineStr">
        <is>
          <t>Suite automatizada</t>
        </is>
      </c>
    </row>
    <row r="46">
      <c r="A46" s="7" t="inlineStr">
        <is>
          <t>TA-045</t>
        </is>
      </c>
      <c r="B46" s="7" t="inlineStr">
        <is>
          <t>Sprint 1-2</t>
        </is>
      </c>
      <c r="C46" s="7" t="inlineStr">
        <is>
          <t>Pruebas automatizadas — Registro, sesión y cuentas (EP-03)</t>
        </is>
      </c>
      <c r="D46" s="7" t="inlineStr">
        <is>
          <t>Validar que desactivar un usuario inexistente devuelva UserNotFound</t>
        </is>
      </c>
      <c r="E46" s="7" t="inlineStr">
        <is>
          <t>Desactivar un usuario inexistente devuelve el error correspondiente.</t>
        </is>
      </c>
      <c r="F46" s="7" t="inlineStr">
        <is>
          <t>No existe la cuenta a desactivar.</t>
        </is>
      </c>
      <c r="G46" s="7" t="inlineStr">
        <is>
          <t>SCRUM-20</t>
        </is>
      </c>
      <c r="H46" s="7" t="inlineStr">
        <is>
          <t>1. Desactivar un id inexistente  →  La operación no es exitosa y devuelve UserNotFound</t>
        </is>
      </c>
      <c r="I46" s="7" t="inlineStr">
        <is>
          <t>Vicaria.UnitTests › AuthServiceUserStatusTests › DeactivateUserAsync_ConUsuarioInexistente_DevuelveUserNotFound</t>
        </is>
      </c>
      <c r="J46" s="7" t="inlineStr">
        <is>
          <t>OK</t>
        </is>
      </c>
      <c r="K46" s="7" t="inlineStr">
        <is>
          <t>2026-10-14</t>
        </is>
      </c>
      <c r="L46" s="7" t="inlineStr">
        <is>
          <t>Suite automatizada</t>
        </is>
      </c>
    </row>
    <row r="47">
      <c r="A47" s="7" t="inlineStr">
        <is>
          <t>TA-046</t>
        </is>
      </c>
      <c r="B47" s="7" t="inlineStr">
        <is>
          <t>Sprint 1-2</t>
        </is>
      </c>
      <c r="C47" s="7" t="inlineStr">
        <is>
          <t>Pruebas automatizadas — Registro, sesión y cuentas (EP-03)</t>
        </is>
      </c>
      <c r="D47" s="7" t="inlineStr">
        <is>
          <t>Validar que reactivar deje la cuenta Activa y limpie el bloqueo</t>
        </is>
      </c>
      <c r="E47" s="7" t="inlineStr">
        <is>
          <t>Reactivar un usuario inactivo lo deja activo y limpia cualquier bloqueo previo.</t>
        </is>
      </c>
      <c r="F47" s="7" t="inlineStr">
        <is>
          <t>Existe una cuenta Inactiva con 5 intentos fallidos y un bloqueo vigente.</t>
        </is>
      </c>
      <c r="G47" s="7" t="inlineStr">
        <is>
          <t>SCRUM-20</t>
        </is>
      </c>
      <c r="H47" s="7" t="inlineStr">
        <is>
          <t>1. Reactivar la cuenta indicando el actor  →  La operación es exitosa
2. Consultar la cuenta  →  Estado Active, intentos fallidos en 0 y sin bloqueo vigente</t>
        </is>
      </c>
      <c r="I47" s="7" t="inlineStr">
        <is>
          <t>Vicaria.UnitTests › AuthServiceUserStatusTests › ReactivateUserAsync_ConUsuarioInactivo_LoDejaActivoYLimpiaElBloqueo</t>
        </is>
      </c>
      <c r="J47" s="7" t="inlineStr">
        <is>
          <t>OK</t>
        </is>
      </c>
      <c r="K47" s="7" t="inlineStr">
        <is>
          <t>2026-10-14</t>
        </is>
      </c>
      <c r="L47" s="7" t="inlineStr">
        <is>
          <t>Suite automatizada</t>
        </is>
      </c>
    </row>
    <row r="48">
      <c r="A48" s="7" t="inlineStr">
        <is>
          <t>TA-047</t>
        </is>
      </c>
      <c r="B48" s="7" t="inlineStr">
        <is>
          <t>Sprint 1-2</t>
        </is>
      </c>
      <c r="C48" s="7" t="inlineStr">
        <is>
          <t>Pruebas automatizadas — Registro, sesión y cuentas (EP-03)</t>
        </is>
      </c>
      <c r="D48" s="7" t="inlineStr">
        <is>
          <t>Validar que el rol Directora de Casa de Convivencia tenga precargados los permisos de fichas y agenda</t>
        </is>
      </c>
      <c r="E48" s="7" t="inlineStr">
        <is>
          <t>El rol DirectoraDeCasaConvivencia tiene los permisos de fichas y agenda esperados.</t>
        </is>
      </c>
      <c r="F48" s="7" t="inlineStr">
        <is>
          <t>Base creada con los datos semilla.</t>
        </is>
      </c>
      <c r="G48" s="7" t="inlineStr">
        <is>
          <t>SCRUM-13, SCRUM-64</t>
        </is>
      </c>
      <c r="H48" s="7" t="inlineStr">
        <is>
          <t>1. Consultar los permisos asignados al rol Directora de Casa de Convivencia  →  El rol tiene los permisos de fichas y de agenda precargados</t>
        </is>
      </c>
      <c r="I48" s="7" t="inlineStr">
        <is>
          <t>Vicaria.UnitTests › RolePermissionSeedTests › DirectoraDeCasona_TienePermisosDeFichasYAgenda</t>
        </is>
      </c>
      <c r="J48" s="7" t="inlineStr">
        <is>
          <t>OK</t>
        </is>
      </c>
      <c r="K48" s="7" t="inlineStr">
        <is>
          <t>2026-10-14</t>
        </is>
      </c>
      <c r="L48" s="7" t="inlineStr">
        <is>
          <t>Suite automatizada</t>
        </is>
      </c>
    </row>
    <row r="49">
      <c r="A49" s="7" t="inlineStr">
        <is>
          <t>TA-048</t>
        </is>
      </c>
      <c r="B49" s="7" t="inlineStr">
        <is>
          <t>Sprint 1-2</t>
        </is>
      </c>
      <c r="C49" s="7" t="inlineStr">
        <is>
          <t>Pruebas automatizadas — Registro, sesión y cuentas (EP-03)</t>
        </is>
      </c>
      <c r="D49" s="7" t="inlineStr">
        <is>
          <t>Validar que el rol Coordinador de Casa de Convivencia tenga precargados los permisos de fichas y agenda</t>
        </is>
      </c>
      <c r="E49" s="7" t="inlineStr">
        <is>
          <t>El rol CoordinadorDeCasaConvivencia tiene los mismos permisos de fichas y agenda.</t>
        </is>
      </c>
      <c r="F49" s="7" t="inlineStr">
        <is>
          <t>Base creada con los datos semilla.</t>
        </is>
      </c>
      <c r="G49" s="7" t="inlineStr">
        <is>
          <t>SCRUM-13, SCRUM-64</t>
        </is>
      </c>
      <c r="H49" s="7" t="inlineStr">
        <is>
          <t>1. Consultar los permisos asignados al rol Coordinador  →  El rol tiene los permisos de fichas y de agenda precargados</t>
        </is>
      </c>
      <c r="I49" s="7" t="inlineStr">
        <is>
          <t>Vicaria.UnitTests › RolePermissionSeedTests › Coordinador_TienePermisosDeFichasYAgenda</t>
        </is>
      </c>
      <c r="J49" s="7" t="inlineStr">
        <is>
          <t>OK</t>
        </is>
      </c>
      <c r="K49" s="7" t="inlineStr">
        <is>
          <t>2026-10-14</t>
        </is>
      </c>
      <c r="L49" s="7" t="inlineStr">
        <is>
          <t>Suite automatizada</t>
        </is>
      </c>
    </row>
    <row r="50">
      <c r="A50" s="7" t="inlineStr">
        <is>
          <t>TA-049</t>
        </is>
      </c>
      <c r="B50" s="7" t="inlineStr">
        <is>
          <t>Sprint 1-2</t>
        </is>
      </c>
      <c r="C50" s="7" t="inlineStr">
        <is>
          <t>Pruebas automatizadas — Registro, sesión y cuentas (EP-03)</t>
        </is>
      </c>
      <c r="D50" s="7" t="inlineStr">
        <is>
          <t>Validar que un usuario cuyo rol coincide con el requerido sea autorizado</t>
        </is>
      </c>
      <c r="E50" s="7" t="inlineStr">
        <is>
          <t>Un usuario con el rol requerido queda autorizado.</t>
        </is>
      </c>
      <c r="F50" s="7" t="inlineStr">
        <is>
          <t>Requisito de autorización que exige el rol Directora de Casa de Convivencia.</t>
        </is>
      </c>
      <c r="G50" s="7" t="inlineStr">
        <is>
          <t>SCRUM-13, SCRUM-64</t>
        </is>
      </c>
      <c r="H50" s="7" t="inlineStr">
        <is>
          <t>1. Evaluar a un usuario con rol Directora de Casa de Convivencia  →  La autorización es exitosa</t>
        </is>
      </c>
      <c r="I50" s="7" t="inlineStr">
        <is>
          <t>Vicaria.UnitTests › RoleAuthorizationTests › RolCoincideConElRequerido_Autoriza</t>
        </is>
      </c>
      <c r="J50" s="7" t="inlineStr">
        <is>
          <t>OK</t>
        </is>
      </c>
      <c r="K50" s="7" t="inlineStr">
        <is>
          <t>2026-10-14</t>
        </is>
      </c>
      <c r="L50" s="7" t="inlineStr">
        <is>
          <t>Suite automatizada</t>
        </is>
      </c>
    </row>
    <row r="51">
      <c r="A51" s="7" t="inlineStr">
        <is>
          <t>TA-050</t>
        </is>
      </c>
      <c r="B51" s="7" t="inlineStr">
        <is>
          <t>Sprint 1-2</t>
        </is>
      </c>
      <c r="C51" s="7" t="inlineStr">
        <is>
          <t>Pruebas automatizadas — Registro, sesión y cuentas (EP-03)</t>
        </is>
      </c>
      <c r="D51" s="7" t="inlineStr">
        <is>
          <t>Validar que un usuario con otro rol no sea autorizado</t>
        </is>
      </c>
      <c r="E51" s="7" t="inlineStr">
        <is>
          <t>Un usuario con otro rol no queda autorizado.</t>
        </is>
      </c>
      <c r="F51" s="7" t="inlineStr">
        <is>
          <t>Requisito de autorización que exige el rol Directora de Casa de Convivencia.</t>
        </is>
      </c>
      <c r="G51" s="7" t="inlineStr">
        <is>
          <t>SCRUM-13, SCRUM-64</t>
        </is>
      </c>
      <c r="H51" s="7" t="inlineStr">
        <is>
          <t>1. Evaluar a un usuario con rol Referente  →  La autorización no se concede</t>
        </is>
      </c>
      <c r="I51" s="7" t="inlineStr">
        <is>
          <t>Vicaria.UnitTests › RoleAuthorizationTests › RolNoCoincideConElRequerido_NoAutoriza</t>
        </is>
      </c>
      <c r="J51" s="7" t="inlineStr">
        <is>
          <t>OK</t>
        </is>
      </c>
      <c r="K51" s="7" t="inlineStr">
        <is>
          <t>2026-10-14</t>
        </is>
      </c>
      <c r="L51" s="7" t="inlineStr">
        <is>
          <t>Suite automatizada</t>
        </is>
      </c>
    </row>
    <row r="52">
      <c r="A52" s="7" t="inlineStr">
        <is>
          <t>TA-051</t>
        </is>
      </c>
      <c r="B52" s="7" t="inlineStr">
        <is>
          <t>Sprint 1-2</t>
        </is>
      </c>
      <c r="C52" s="7" t="inlineStr">
        <is>
          <t>Pruebas automatizadas — Registro, sesión y cuentas (EP-03)</t>
        </is>
      </c>
      <c r="D52" s="7" t="inlineStr">
        <is>
          <t>Validar que sea autorizado un usuario cuyo rol está entre varios permitidos</t>
        </is>
      </c>
      <c r="E52" s="7" t="inlineStr">
        <is>
          <t>Un endpoint que acepta varios roles autoriza si el usuario tiene alguno de ellos.</t>
        </is>
      </c>
      <c r="F52" s="7" t="inlineStr">
        <is>
          <t>Requisito que admite Directora de Casa de Convivencia o Escucha.</t>
        </is>
      </c>
      <c r="G52" s="7" t="inlineStr">
        <is>
          <t>SCRUM-13, SCRUM-64</t>
        </is>
      </c>
      <c r="H52" s="7" t="inlineStr">
        <is>
          <t>1. Evaluar a un usuario con rol Escucha  →  La autorización es exitosa</t>
        </is>
      </c>
      <c r="I52" s="7" t="inlineStr">
        <is>
          <t>Vicaria.UnitTests › RoleAuthorizationTests › RolEstaEntreVariosRequeridos_Autoriza</t>
        </is>
      </c>
      <c r="J52" s="7" t="inlineStr">
        <is>
          <t>OK</t>
        </is>
      </c>
      <c r="K52" s="7" t="inlineStr">
        <is>
          <t>2026-10-14</t>
        </is>
      </c>
      <c r="L52" s="7" t="inlineStr">
        <is>
          <t>Suite automatizada</t>
        </is>
      </c>
    </row>
    <row r="53">
      <c r="A53" s="7" t="inlineStr">
        <is>
          <t>TA-052</t>
        </is>
      </c>
      <c r="B53" s="7" t="inlineStr">
        <is>
          <t>Sprint 1-2</t>
        </is>
      </c>
      <c r="C53" s="7" t="inlineStr">
        <is>
          <t>Pruebas automatizadas — Registro, sesión y cuentas (EP-03)</t>
        </is>
      </c>
      <c r="D53" s="7" t="inlineStr">
        <is>
          <t>Validar que un usuario sin claim de rol no sea autorizado</t>
        </is>
      </c>
      <c r="E53" s="7" t="inlineStr">
        <is>
          <t>Un token sin claim de rol nunca autoriza.</t>
        </is>
      </c>
      <c r="F53" s="7" t="inlineStr">
        <is>
          <t>Requisito que exige el rol Referente. Usuario sin claim de rol.</t>
        </is>
      </c>
      <c r="G53" s="7" t="inlineStr">
        <is>
          <t>SCRUM-13, SCRUM-64</t>
        </is>
      </c>
      <c r="H53" s="7" t="inlineStr">
        <is>
          <t>1. Evaluar a un usuario autenticado sin claim de rol  →  La autorización no se concede</t>
        </is>
      </c>
      <c r="I53" s="7" t="inlineStr">
        <is>
          <t>Vicaria.UnitTests › RoleAuthorizationTests › UsuarioSinClaimDeRol_NoAutoriza</t>
        </is>
      </c>
      <c r="J53" s="7" t="inlineStr">
        <is>
          <t>OK</t>
        </is>
      </c>
      <c r="K53" s="7" t="inlineStr">
        <is>
          <t>2026-10-14</t>
        </is>
      </c>
      <c r="L53" s="7" t="inlineStr">
        <is>
          <t>Suite automatizada</t>
        </is>
      </c>
    </row>
    <row r="54">
      <c r="A54" s="7" t="inlineStr">
        <is>
          <t>TA-053</t>
        </is>
      </c>
      <c r="B54" s="7" t="inlineStr">
        <is>
          <t>Sprint 1-2</t>
        </is>
      </c>
      <c r="C54" s="7" t="inlineStr">
        <is>
          <t>Pruebas automatizadas — Registro, sesión y cuentas (EP-03)</t>
        </is>
      </c>
      <c r="D54" s="7" t="inlineStr">
        <is>
          <t>Validar que la base semilla cree los cuatro roles del sistema</t>
        </is>
      </c>
      <c r="E54" s="7" t="inlineStr">
        <is>
          <t>La base semilla cree los cuatro roles del sistema</t>
        </is>
      </c>
      <c r="F54" s="7" t="inlineStr">
        <is>
          <t>Base creada con los datos semilla.</t>
        </is>
      </c>
      <c r="G54" s="7" t="inlineStr">
        <is>
          <t>SCRUM-13</t>
        </is>
      </c>
      <c r="H54" s="7" t="inlineStr">
        <is>
          <t>1. Consultar los roles existentes  →  Hay 4 roles: Referente, Directora de Casa de Convivencia, Escucha y Coordinador de Casa de Convivencia</t>
        </is>
      </c>
      <c r="I54" s="7" t="inlineStr">
        <is>
          <t>Vicaria.UnitTests › RoleSeedTests › SeedTieneLosCuatroRolesEsperados</t>
        </is>
      </c>
      <c r="J54" s="7" t="inlineStr">
        <is>
          <t>OK</t>
        </is>
      </c>
      <c r="K54" s="7" t="inlineStr">
        <is>
          <t>2026-10-14</t>
        </is>
      </c>
      <c r="L54" s="7" t="inlineStr">
        <is>
          <t>Suite automatizada</t>
        </is>
      </c>
    </row>
    <row r="55">
      <c r="A55" s="7" t="inlineStr">
        <is>
          <t>TA-054</t>
        </is>
      </c>
      <c r="B55" s="7" t="inlineStr">
        <is>
          <t>Sprint 1-2</t>
        </is>
      </c>
      <c r="C55" s="7" t="inlineStr">
        <is>
          <t>Pruebas automatizadas — Fichas de personas (EP-01)</t>
        </is>
      </c>
      <c r="D55" s="7" t="inlineStr">
        <is>
          <t>Validar que un Referente pueda crear una ficha completando solo el nombre</t>
        </is>
      </c>
      <c r="E55" s="7" t="inlineStr">
        <is>
          <t>Crear una ficha con solo el nombre (sin otro dato obligatorio) funciona para un Referente.</t>
        </is>
      </c>
      <c r="F55" s="7" t="inlineStr">
        <is>
          <t>API levantada. Usuario autenticado con rol Referente.</t>
        </is>
      </c>
      <c r="G55" s="7" t="inlineStr">
        <is>
          <t>EP-01</t>
        </is>
      </c>
      <c r="H55" s="7" t="inlineStr">
        <is>
          <t>1. Enviar POST /api/social-records solo con el nombre  →  La API crea la ficha y responde 201 Created</t>
        </is>
      </c>
      <c r="I55" s="7" t="inlineStr">
        <is>
          <t>Vicaria.IntegrationTests › SocialRecordsEndpointTests › Create_ComoReferenteConSoloNombre_Devuelve201</t>
        </is>
      </c>
      <c r="J55" s="7" t="inlineStr">
        <is>
          <t>OK</t>
        </is>
      </c>
      <c r="K55" s="7" t="inlineStr">
        <is>
          <t>2026-10-14</t>
        </is>
      </c>
      <c r="L55" s="7" t="inlineStr">
        <is>
          <t>Suite automatizada</t>
        </is>
      </c>
    </row>
    <row r="56">
      <c r="A56" s="7" t="inlineStr">
        <is>
          <t>TA-055</t>
        </is>
      </c>
      <c r="B56" s="7" t="inlineStr">
        <is>
          <t>Sprint 1-2</t>
        </is>
      </c>
      <c r="C56" s="7" t="inlineStr">
        <is>
          <t>Pruebas automatizadas — Fichas de personas (EP-01)</t>
        </is>
      </c>
      <c r="D56" s="7" t="inlineStr">
        <is>
          <t>Validar que el rol Escucha no pueda crear fichas</t>
        </is>
      </c>
      <c r="E56" s="7" t="inlineStr">
        <is>
          <t>Un usuario con rol Escucha no puede crear fichas (403).</t>
        </is>
      </c>
      <c r="F56" s="7" t="inlineStr">
        <is>
          <t>API levantada. Usuario autenticado con rol Escucha.</t>
        </is>
      </c>
      <c r="G56" s="7" t="inlineStr">
        <is>
          <t>SCRUM-13, SCRUM-64</t>
        </is>
      </c>
      <c r="H56" s="7" t="inlineStr">
        <is>
          <t>1. Enviar POST /api/social-records con el token del rol Escucha  →  La API responde 403 Forbidden</t>
        </is>
      </c>
      <c r="I56" s="7" t="inlineStr">
        <is>
          <t>Vicaria.IntegrationTests › SocialRecordsEndpointTests › Create_ComoEscucha_Devuelve403</t>
        </is>
      </c>
      <c r="J56" s="7" t="inlineStr">
        <is>
          <t>OK</t>
        </is>
      </c>
      <c r="K56" s="7" t="inlineStr">
        <is>
          <t>2026-10-14</t>
        </is>
      </c>
      <c r="L56" s="7" t="inlineStr">
        <is>
          <t>Suite automatizada</t>
        </is>
      </c>
    </row>
    <row r="57">
      <c r="A57" s="7" t="inlineStr">
        <is>
          <t>TA-056</t>
        </is>
      </c>
      <c r="B57" s="7" t="inlineStr">
        <is>
          <t>Sprint 1-2</t>
        </is>
      </c>
      <c r="C57" s="7" t="inlineStr">
        <is>
          <t>Pruebas automatizadas — Fichas de personas (EP-01)</t>
        </is>
      </c>
      <c r="D57" s="7" t="inlineStr">
        <is>
          <t>Validar que no se pueda crear una ficha sin nombre</t>
        </is>
      </c>
      <c r="E57" s="7" t="inlineStr">
        <is>
          <t>El nombre es el único campo realmente obligatorio; sin él, se rechaza (400).</t>
        </is>
      </c>
      <c r="F57" s="7" t="inlineStr">
        <is>
          <t>API levantada. Usuario autenticado con rol Referente.</t>
        </is>
      </c>
      <c r="G57" s="7" t="inlineStr">
        <is>
          <t>EP-01</t>
        </is>
      </c>
      <c r="H57" s="7" t="inlineStr">
        <is>
          <t>1. Enviar POST /api/social-records con el nombre vacío  →  La API responde 400 Bad Request</t>
        </is>
      </c>
      <c r="I57" s="7" t="inlineStr">
        <is>
          <t>Vicaria.IntegrationTests › SocialRecordsEndpointTests › Create_SinNombre_Devuelve400</t>
        </is>
      </c>
      <c r="J57" s="7" t="inlineStr">
        <is>
          <t>OK</t>
        </is>
      </c>
      <c r="K57" s="7" t="inlineStr">
        <is>
          <t>2026-10-14</t>
        </is>
      </c>
      <c r="L57" s="7" t="inlineStr">
        <is>
          <t>Suite automatizada</t>
        </is>
      </c>
    </row>
    <row r="58">
      <c r="A58" s="7" t="inlineStr">
        <is>
          <t>TA-057</t>
        </is>
      </c>
      <c r="B58" s="7" t="inlineStr">
        <is>
          <t>Sprint 1-2</t>
        </is>
      </c>
      <c r="C58" s="7" t="inlineStr">
        <is>
          <t>Pruebas automatizadas — Fichas de personas (EP-01)</t>
        </is>
      </c>
      <c r="D58" s="7" t="inlineStr">
        <is>
          <t>Validar que crear una ficha sin token no esté autorizado</t>
        </is>
      </c>
      <c r="E58" s="7" t="inlineStr">
        <is>
          <t>Crear una ficha sin autenticarse no autoriza (401).</t>
        </is>
      </c>
      <c r="F58" s="7" t="inlineStr">
        <is>
          <t>API levantada. El cliente no envía token.</t>
        </is>
      </c>
      <c r="G58" s="7" t="inlineStr">
        <is>
          <t>EP-01</t>
        </is>
      </c>
      <c r="H58" s="7" t="inlineStr">
        <is>
          <t>1. Enviar POST /api/social-records sin autenticación  →  La API responde 401 Unauthorized</t>
        </is>
      </c>
      <c r="I58" s="7" t="inlineStr">
        <is>
          <t>Vicaria.IntegrationTests › SocialRecordsEndpointTests › Create_SinToken_Devuelve401</t>
        </is>
      </c>
      <c r="J58" s="7" t="inlineStr">
        <is>
          <t>OK</t>
        </is>
      </c>
      <c r="K58" s="7" t="inlineStr">
        <is>
          <t>2026-10-14</t>
        </is>
      </c>
      <c r="L58" s="7" t="inlineStr">
        <is>
          <t>Suite automatizada</t>
        </is>
      </c>
    </row>
    <row r="59">
      <c r="A59" s="7" t="inlineStr">
        <is>
          <t>TA-058</t>
        </is>
      </c>
      <c r="B59" s="7" t="inlineStr">
        <is>
          <t>Sprint 1-2</t>
        </is>
      </c>
      <c r="C59" s="7" t="inlineStr">
        <is>
          <t>Pruebas automatizadas — Fichas de personas (EP-01)</t>
        </is>
      </c>
      <c r="D59" s="7" t="inlineStr">
        <is>
          <t>Validar que el rol Escucha pueda buscar fichas</t>
        </is>
      </c>
      <c r="E59" s="7" t="inlineStr">
        <is>
          <t>Un usuario Escucha sí puede buscar/leer fichas (200).</t>
        </is>
      </c>
      <c r="F59" s="7" t="inlineStr">
        <is>
          <t>Existe una ficha "Ramón Gómez" creada por un Referente. Usuario autenticado con rol Escucha.</t>
        </is>
      </c>
      <c r="G59" s="7" t="inlineStr">
        <is>
          <t>SCRUM-112</t>
        </is>
      </c>
      <c r="H59" s="7" t="inlineStr">
        <is>
          <t>1. Enviar GET /api/social-records?q=gomez con el token del rol Escucha  →  La API responde 200 OK</t>
        </is>
      </c>
      <c r="I59" s="7" t="inlineStr">
        <is>
          <t>Vicaria.IntegrationTests › SocialRecordsEndpointTests › Search_ComoEscucha_Devuelve200</t>
        </is>
      </c>
      <c r="J59" s="7" t="inlineStr">
        <is>
          <t>OK</t>
        </is>
      </c>
      <c r="K59" s="7" t="inlineStr">
        <is>
          <t>2026-10-14</t>
        </is>
      </c>
      <c r="L59" s="7" t="inlineStr">
        <is>
          <t>Suite automatizada</t>
        </is>
      </c>
    </row>
    <row r="60">
      <c r="A60" s="7" t="inlineStr">
        <is>
          <t>TA-059</t>
        </is>
      </c>
      <c r="B60" s="7" t="inlineStr">
        <is>
          <t>Sprint 1-2</t>
        </is>
      </c>
      <c r="C60" s="7" t="inlineStr">
        <is>
          <t>Pruebas automatizadas — Fichas de personas (EP-01)</t>
        </is>
      </c>
      <c r="D60" s="7" t="inlineStr">
        <is>
          <t>Validar que buscar fichas sin token no esté autorizado</t>
        </is>
      </c>
      <c r="E60" s="7" t="inlineStr">
        <is>
          <t>Buscar fichas sin autenticarse no autoriza (401).</t>
        </is>
      </c>
      <c r="F60" s="7" t="inlineStr">
        <is>
          <t>API levantada. El cliente no envía token.</t>
        </is>
      </c>
      <c r="G60" s="7" t="inlineStr">
        <is>
          <t>SCRUM-112</t>
        </is>
      </c>
      <c r="H60" s="7" t="inlineStr">
        <is>
          <t>1. Enviar GET /api/social-records?q=ana sin autenticación  →  La API responde 401 Unauthorized</t>
        </is>
      </c>
      <c r="I60" s="7" t="inlineStr">
        <is>
          <t>Vicaria.IntegrationTests › SocialRecordsEndpointTests › Search_SinToken_Devuelve401</t>
        </is>
      </c>
      <c r="J60" s="7" t="inlineStr">
        <is>
          <t>OK</t>
        </is>
      </c>
      <c r="K60" s="7" t="inlineStr">
        <is>
          <t>2026-10-14</t>
        </is>
      </c>
      <c r="L60" s="7" t="inlineStr">
        <is>
          <t>Suite automatizada</t>
        </is>
      </c>
    </row>
    <row r="61">
      <c r="A61" s="7" t="inlineStr">
        <is>
          <t>TA-060</t>
        </is>
      </c>
      <c r="B61" s="7" t="inlineStr">
        <is>
          <t>Sprint 1-2</t>
        </is>
      </c>
      <c r="C61" s="7" t="inlineStr">
        <is>
          <t>Pruebas automatizadas — Fichas de personas (EP-01)</t>
        </is>
      </c>
      <c r="D61" s="7" t="inlineStr">
        <is>
          <t>Validar que el listado de fichas responda paginado</t>
        </is>
      </c>
      <c r="E61" s="7" t="inlineStr">
        <is>
          <t>El listado de fichas responda paginado</t>
        </is>
      </c>
      <c r="F61" s="7" t="inlineStr">
        <is>
          <t>Existe una ficha con nombre único creada por un Referente.</t>
        </is>
      </c>
      <c r="G61" s="7" t="inlineStr">
        <is>
          <t>SCRUM-88, SCRUM-164</t>
        </is>
      </c>
      <c r="H61" s="7" t="inlineStr">
        <is>
          <t>1. Enviar GET /api/social-records/list?page=1 buscando por el nombre único  →  La API responde 200 OK
2. Revisar el cuerpo  →  Se devuelve un resultado paginado que incluye la ficha creada</t>
        </is>
      </c>
      <c r="I61" s="7" t="inlineStr">
        <is>
          <t>Vicaria.IntegrationTests › SocialRecordsEndpointTests › GetPaged_DevuelveListadoPaginado</t>
        </is>
      </c>
      <c r="J61" s="7" t="inlineStr">
        <is>
          <t>OK</t>
        </is>
      </c>
      <c r="K61" s="7" t="inlineStr">
        <is>
          <t>2026-10-14</t>
        </is>
      </c>
      <c r="L61" s="7" t="inlineStr">
        <is>
          <t>Suite automatizada</t>
        </is>
      </c>
    </row>
    <row r="62">
      <c r="A62" s="7" t="inlineStr">
        <is>
          <t>TA-061</t>
        </is>
      </c>
      <c r="B62" s="7" t="inlineStr">
        <is>
          <t>Sprint 1-2</t>
        </is>
      </c>
      <c r="C62" s="7" t="inlineStr">
        <is>
          <t>Pruebas automatizadas — Fichas de personas (EP-01)</t>
        </is>
      </c>
      <c r="D62" s="7" t="inlineStr">
        <is>
          <t>Validar que el listado paginado de la Directora de Casa de Convivencia solo traiga residentes</t>
        </is>
      </c>
      <c r="E62" s="7" t="inlineStr">
        <is>
          <t>El listado paginado de la Directora de Casa de Convivencia solo traiga residentes</t>
        </is>
      </c>
      <c r="F62" s="7" t="inlineStr">
        <is>
          <t>Existe una ficha Ambulatoria recién creada por un Referente. Usuario autenticado con rol Directora de Casa de Convivencia.</t>
        </is>
      </c>
      <c r="G62" s="7" t="inlineStr">
        <is>
          <t>SCRUM-13, SCRUM-64</t>
        </is>
      </c>
      <c r="H62" s="7" t="inlineStr">
        <is>
          <t>1. Enviar GET /api/social-records/list con el token de la Directora, buscando la ficha Ambulatoria  →  La API responde 200 OK
2. Revisar los elementos devueltos  →  La ficha Ambulatoria no aparece (solo se ven residentes)</t>
        </is>
      </c>
      <c r="I62" s="7" t="inlineStr">
        <is>
          <t>Vicaria.IntegrationTests › SocialRecordsEndpointTests › GetPaged_ComoDirectoraDeCasona_SoloTraeResidentes</t>
        </is>
      </c>
      <c r="J62" s="7" t="inlineStr">
        <is>
          <t>OK</t>
        </is>
      </c>
      <c r="K62" s="7" t="inlineStr">
        <is>
          <t>2026-10-14</t>
        </is>
      </c>
      <c r="L62" s="7" t="inlineStr">
        <is>
          <t>Suite automatizada</t>
        </is>
      </c>
    </row>
    <row r="63">
      <c r="A63" s="7" t="inlineStr">
        <is>
          <t>TA-062</t>
        </is>
      </c>
      <c r="B63" s="7" t="inlineStr">
        <is>
          <t>Sprint 1-2</t>
        </is>
      </c>
      <c r="C63" s="7" t="inlineStr">
        <is>
          <t>Pruebas automatizadas — Fichas de personas (EP-01)</t>
        </is>
      </c>
      <c r="D63" s="7" t="inlineStr">
        <is>
          <t>Validar que el filtro por estado devuelva solo las fichas de ese estado</t>
        </is>
      </c>
      <c r="E63" s="7" t="inlineStr">
        <is>
          <t>El filtro por estado devuelva solo las fichas de ese estado</t>
        </is>
      </c>
      <c r="F63" s="7" t="inlineStr">
        <is>
          <t>Existen una ficha Activa y otra pasada a Inactiva. Usuario Referente.</t>
        </is>
      </c>
      <c r="G63" s="7" t="inlineStr">
        <is>
          <t>SCRUM-88, SCRUM-164</t>
        </is>
      </c>
      <c r="H63" s="7" t="inlineStr">
        <is>
          <t>1. Enviar GET /api/social-records/list filtrando por estado Inactivo  →  La API responde 200 OK
2. Revisar los elementos devueltos  →  Solo aparece la ficha Inactiva</t>
        </is>
      </c>
      <c r="I63" s="7" t="inlineStr">
        <is>
          <t>Vicaria.IntegrationTests › SocialRecordsEndpointTests › GetPaged_ConFiltroEstado_DevuelveSoloEsasFichas</t>
        </is>
      </c>
      <c r="J63" s="7" t="inlineStr">
        <is>
          <t>OK</t>
        </is>
      </c>
      <c r="K63" s="7" t="inlineStr">
        <is>
          <t>2026-10-14</t>
        </is>
      </c>
      <c r="L63" s="7" t="inlineStr">
        <is>
          <t>Suite automatizada</t>
        </is>
      </c>
    </row>
    <row r="64">
      <c r="A64" s="7" t="inlineStr">
        <is>
          <t>TA-063</t>
        </is>
      </c>
      <c r="B64" s="7" t="inlineStr">
        <is>
          <t>Sprint 1-2</t>
        </is>
      </c>
      <c r="C64" s="7" t="inlineStr">
        <is>
          <t>Pruebas automatizadas — Fichas de personas (EP-01)</t>
        </is>
      </c>
      <c r="D64" s="7" t="inlineStr">
        <is>
          <t>Validar que el filtro por tipo de persona devuelva solo ese tipo</t>
        </is>
      </c>
      <c r="E64" s="7" t="inlineStr">
        <is>
          <t>El filtro por tipo de persona devuelva solo ese tipo</t>
        </is>
      </c>
      <c r="F64" s="7" t="inlineStr">
        <is>
          <t>Existen una ficha Ambulatoria y otra convertida a Residente. Usuario Referente.</t>
        </is>
      </c>
      <c r="G64" s="7" t="inlineStr">
        <is>
          <t>SCRUM-88, SCRUM-164</t>
        </is>
      </c>
      <c r="H64" s="7" t="inlineStr">
        <is>
          <t>1. Enviar GET /api/social-records/list filtrando por tipo Residente  →  La API responde 200 OK
2. Revisar los elementos devueltos  →  Solo aparece la ficha Residente</t>
        </is>
      </c>
      <c r="I64" s="7" t="inlineStr">
        <is>
          <t>Vicaria.IntegrationTests › SocialRecordsEndpointTests › GetPaged_ConFiltroTipoPersona_DevuelveSoloEseTipo</t>
        </is>
      </c>
      <c r="J64" s="7" t="inlineStr">
        <is>
          <t>OK</t>
        </is>
      </c>
      <c r="K64" s="7" t="inlineStr">
        <is>
          <t>2026-10-14</t>
        </is>
      </c>
      <c r="L64" s="7" t="inlineStr">
        <is>
          <t>Suite automatizada</t>
        </is>
      </c>
    </row>
    <row r="65">
      <c r="A65" s="7" t="inlineStr">
        <is>
          <t>TA-064</t>
        </is>
      </c>
      <c r="B65" s="7" t="inlineStr">
        <is>
          <t>Sprint 1-2</t>
        </is>
      </c>
      <c r="C65" s="7" t="inlineStr">
        <is>
          <t>Pruebas automatizadas — Fichas de personas (EP-01)</t>
        </is>
      </c>
      <c r="D65" s="7" t="inlineStr">
        <is>
          <t>Validar que los filtros de estado, tipo y fecha se combinen</t>
        </is>
      </c>
      <c r="E65" s="7" t="inlineStr">
        <is>
          <t>Los filtros de estado, tipo y fecha se combinen</t>
        </is>
      </c>
      <c r="F65" s="7" t="inlineStr">
        <is>
          <t>Existen fichas Activa e Inactiva con distintas fechas de ingreso. Usuario Referente.</t>
        </is>
      </c>
      <c r="G65" s="7" t="inlineStr">
        <is>
          <t>SCRUM-88, SCRUM-164</t>
        </is>
      </c>
      <c r="H65" s="7" t="inlineStr">
        <is>
          <t>1. Enviar GET /api/social-records/list con estado, tipo y rango de fechas  →  La API responde 200 OK
2. Revisar los elementos devueltos  →  Solo aparece la ficha que cumple los tres criterios</t>
        </is>
      </c>
      <c r="I65" s="7" t="inlineStr">
        <is>
          <t>Vicaria.IntegrationTests › SocialRecordsEndpointTests › GetPaged_CombinaEstadoTipoYFecha_DevuelveSoloLaCoincidencia</t>
        </is>
      </c>
      <c r="J65" s="7" t="inlineStr">
        <is>
          <t>OK</t>
        </is>
      </c>
      <c r="K65" s="7" t="inlineStr">
        <is>
          <t>2026-10-14</t>
        </is>
      </c>
      <c r="L65" s="7" t="inlineStr">
        <is>
          <t>Suite automatizada</t>
        </is>
      </c>
    </row>
    <row r="66">
      <c r="A66" s="7" t="inlineStr">
        <is>
          <t>TA-065</t>
        </is>
      </c>
      <c r="B66" s="7" t="inlineStr">
        <is>
          <t>Sprint 1-2</t>
        </is>
      </c>
      <c r="C66" s="7" t="inlineStr">
        <is>
          <t>Pruebas automatizadas — Fichas de personas (EP-01)</t>
        </is>
      </c>
      <c r="D66" s="7" t="inlineStr">
        <is>
          <t>Validar que un Referente pueda actualizar una ficha</t>
        </is>
      </c>
      <c r="E66" s="7" t="inlineStr">
        <is>
          <t>Un Referente puede actualizar una ficha (204).</t>
        </is>
      </c>
      <c r="F66" s="7" t="inlineStr">
        <is>
          <t>Existe una ficha creada. Usuario autenticado con rol Referente.</t>
        </is>
      </c>
      <c r="G66" s="7" t="inlineStr">
        <is>
          <t>SCRUM-117</t>
        </is>
      </c>
      <c r="H66" s="7" t="inlineStr">
        <is>
          <t>1. Enviar PUT /api/social-records/{id} con los datos actualizados  →  La API responde 204 No Content</t>
        </is>
      </c>
      <c r="I66" s="7" t="inlineStr">
        <is>
          <t>Vicaria.IntegrationTests › SocialRecordsEndpointTests › Update_ComoReferente_Devuelve204</t>
        </is>
      </c>
      <c r="J66" s="7" t="inlineStr">
        <is>
          <t>OK</t>
        </is>
      </c>
      <c r="K66" s="7" t="inlineStr">
        <is>
          <t>2026-10-14</t>
        </is>
      </c>
      <c r="L66" s="7" t="inlineStr">
        <is>
          <t>Suite automatizada</t>
        </is>
      </c>
    </row>
    <row r="67">
      <c r="A67" s="7" t="inlineStr">
        <is>
          <t>TA-066</t>
        </is>
      </c>
      <c r="B67" s="7" t="inlineStr">
        <is>
          <t>Sprint 1-2</t>
        </is>
      </c>
      <c r="C67" s="7" t="inlineStr">
        <is>
          <t>Pruebas automatizadas — Fichas de personas (EP-01)</t>
        </is>
      </c>
      <c r="D67" s="7" t="inlineStr">
        <is>
          <t>Validar que el rol Escucha no pueda editar fichas</t>
        </is>
      </c>
      <c r="E67" s="7" t="inlineStr">
        <is>
          <t>Un usuario Escucha no puede actualizar fichas (403).</t>
        </is>
      </c>
      <c r="F67" s="7" t="inlineStr">
        <is>
          <t>Usuario autenticado con rol Escucha.</t>
        </is>
      </c>
      <c r="G67" s="7" t="inlineStr">
        <is>
          <t>SCRUM-13, SCRUM-64</t>
        </is>
      </c>
      <c r="H67" s="7" t="inlineStr">
        <is>
          <t>1. Enviar PUT /api/social-records/{id} con el token del rol Escucha  →  La API responde 403 Forbidden</t>
        </is>
      </c>
      <c r="I67" s="7" t="inlineStr">
        <is>
          <t>Vicaria.IntegrationTests › SocialRecordsEndpointTests › Update_ComoEscucha_Devuelve403</t>
        </is>
      </c>
      <c r="J67" s="7" t="inlineStr">
        <is>
          <t>OK</t>
        </is>
      </c>
      <c r="K67" s="7" t="inlineStr">
        <is>
          <t>2026-10-14</t>
        </is>
      </c>
      <c r="L67" s="7" t="inlineStr">
        <is>
          <t>Suite automatizada</t>
        </is>
      </c>
    </row>
    <row r="68">
      <c r="A68" s="7" t="inlineStr">
        <is>
          <t>TA-067</t>
        </is>
      </c>
      <c r="B68" s="7" t="inlineStr">
        <is>
          <t>Sprint 1-2</t>
        </is>
      </c>
      <c r="C68" s="7" t="inlineStr">
        <is>
          <t>Pruebas automatizadas — Fichas de personas (EP-01)</t>
        </is>
      </c>
      <c r="D68" s="7" t="inlineStr">
        <is>
          <t>Validar que el Coordinador de Casa de Convivencia no pueda editar fichas (solo Referente y Directora)</t>
        </is>
      </c>
      <c r="E68" s="7" t="inlineStr">
        <is>
          <t>El rol Coordinador tampoco puede actualizar fichas (403).</t>
        </is>
      </c>
      <c r="F68" s="7" t="inlineStr">
        <is>
          <t>Usuario autenticado con rol Coordinador de Casa de Convivencia.</t>
        </is>
      </c>
      <c r="G68" s="7" t="inlineStr">
        <is>
          <t>SCRUM-117</t>
        </is>
      </c>
      <c r="H68" s="7" t="inlineStr">
        <is>
          <t>1. Enviar PUT /api/social-records/{id} con el token del Coordinador  →  La API responde 403 Forbidden</t>
        </is>
      </c>
      <c r="I68" s="7" t="inlineStr">
        <is>
          <t>Vicaria.IntegrationTests › SocialRecordsEndpointTests › Update_ComoCoordinador_Devuelve403</t>
        </is>
      </c>
      <c r="J68" s="7" t="inlineStr">
        <is>
          <t>OK</t>
        </is>
      </c>
      <c r="K68" s="7" t="inlineStr">
        <is>
          <t>2026-10-14</t>
        </is>
      </c>
      <c r="L68" s="7" t="inlineStr">
        <is>
          <t>Suite automatizada</t>
        </is>
      </c>
    </row>
    <row r="69">
      <c r="A69" s="7" t="inlineStr">
        <is>
          <t>TA-068</t>
        </is>
      </c>
      <c r="B69" s="7" t="inlineStr">
        <is>
          <t>Sprint 1-2</t>
        </is>
      </c>
      <c r="C69" s="7" t="inlineStr">
        <is>
          <t>Pruebas automatizadas — Fichas de personas (EP-01)</t>
        </is>
      </c>
      <c r="D69" s="7" t="inlineStr">
        <is>
          <t>Validar que editar una ficha inexistente devuelva 404</t>
        </is>
      </c>
      <c r="E69" s="7" t="inlineStr">
        <is>
          <t>Actualizar una ficha que no existe devuelve 404.</t>
        </is>
      </c>
      <c r="F69" s="7" t="inlineStr">
        <is>
          <t>Usuario Referente. No existe la ficha indicada.</t>
        </is>
      </c>
      <c r="G69" s="7" t="inlineStr">
        <is>
          <t>SCRUM-117</t>
        </is>
      </c>
      <c r="H69" s="7" t="inlineStr">
        <is>
          <t>1. Enviar PUT /api/social-records/{id} con un id inexistente  →  La API responde 404 Not Found</t>
        </is>
      </c>
      <c r="I69" s="7" t="inlineStr">
        <is>
          <t>Vicaria.IntegrationTests › SocialRecordsEndpointTests › Update_ConFichaInexistente_Devuelve404</t>
        </is>
      </c>
      <c r="J69" s="7" t="inlineStr">
        <is>
          <t>OK</t>
        </is>
      </c>
      <c r="K69" s="7" t="inlineStr">
        <is>
          <t>2026-10-14</t>
        </is>
      </c>
      <c r="L69" s="7" t="inlineStr">
        <is>
          <t>Suite automatizada</t>
        </is>
      </c>
    </row>
    <row r="70">
      <c r="A70" s="7" t="inlineStr">
        <is>
          <t>TA-069</t>
        </is>
      </c>
      <c r="B70" s="7" t="inlineStr">
        <is>
          <t>Sprint 1-2</t>
        </is>
      </c>
      <c r="C70" s="7" t="inlineStr">
        <is>
          <t>Pruebas automatizadas — Fichas de personas (EP-01)</t>
        </is>
      </c>
      <c r="D70" s="7" t="inlineStr">
        <is>
          <t>Validar que no se pueda guardar una ficha dejando el nombre vacío</t>
        </is>
      </c>
      <c r="E70" s="7" t="inlineStr">
        <is>
          <t>Actualizar borrando el nombre se rechaza (400).</t>
        </is>
      </c>
      <c r="F70" s="7" t="inlineStr">
        <is>
          <t>Usuario autenticado con rol Referente.</t>
        </is>
      </c>
      <c r="G70" s="7" t="inlineStr">
        <is>
          <t>SCRUM-117</t>
        </is>
      </c>
      <c r="H70" s="7" t="inlineStr">
        <is>
          <t>1. Enviar PUT /api/social-records/{id} con el nombre vacío  →  La API responde 400 Bad Request</t>
        </is>
      </c>
      <c r="I70" s="7" t="inlineStr">
        <is>
          <t>Vicaria.IntegrationTests › SocialRecordsEndpointTests › Update_SinNombre_Devuelve400</t>
        </is>
      </c>
      <c r="J70" s="7" t="inlineStr">
        <is>
          <t>OK</t>
        </is>
      </c>
      <c r="K70" s="7" t="inlineStr">
        <is>
          <t>2026-10-14</t>
        </is>
      </c>
      <c r="L70" s="7" t="inlineStr">
        <is>
          <t>Suite automatizada</t>
        </is>
      </c>
    </row>
    <row r="71">
      <c r="A71" s="7" t="inlineStr">
        <is>
          <t>TA-070</t>
        </is>
      </c>
      <c r="B71" s="7" t="inlineStr">
        <is>
          <t>Sprint 1-2</t>
        </is>
      </c>
      <c r="C71" s="7" t="inlineStr">
        <is>
          <t>Pruebas automatizadas — Fichas de personas (EP-01)</t>
        </is>
      </c>
      <c r="D71" s="7" t="inlineStr">
        <is>
          <t>Validar que editar una ficha sin token no esté autorizado</t>
        </is>
      </c>
      <c r="E71" s="7" t="inlineStr">
        <is>
          <t>Actualizar sin autenticarse no autoriza (401).</t>
        </is>
      </c>
      <c r="F71" s="7" t="inlineStr">
        <is>
          <t>API levantada. El cliente no envía token.</t>
        </is>
      </c>
      <c r="G71" s="7" t="inlineStr">
        <is>
          <t>SCRUM-117</t>
        </is>
      </c>
      <c r="H71" s="7" t="inlineStr">
        <is>
          <t>1. Enviar PUT /api/social-records/{id} sin autenticación  →  La API responde 401 Unauthorized</t>
        </is>
      </c>
      <c r="I71" s="7" t="inlineStr">
        <is>
          <t>Vicaria.IntegrationTests › SocialRecordsEndpointTests › Update_SinToken_Devuelve401</t>
        </is>
      </c>
      <c r="J71" s="7" t="inlineStr">
        <is>
          <t>OK</t>
        </is>
      </c>
      <c r="K71" s="7" t="inlineStr">
        <is>
          <t>2026-10-14</t>
        </is>
      </c>
      <c r="L71" s="7" t="inlineStr">
        <is>
          <t>Suite automatizada</t>
        </is>
      </c>
    </row>
    <row r="72">
      <c r="A72" s="7" t="inlineStr">
        <is>
          <t>TA-071</t>
        </is>
      </c>
      <c r="B72" s="7" t="inlineStr">
        <is>
          <t>Sprint 1-2</t>
        </is>
      </c>
      <c r="C72" s="7" t="inlineStr">
        <is>
          <t>Pruebas automatizadas — Fichas de personas (EP-01)</t>
        </is>
      </c>
      <c r="D72" s="7" t="inlineStr">
        <is>
          <t>Validar que con solo el nombre se cree la persona y su ficha en estado Activa</t>
        </is>
      </c>
      <c r="E72" s="7" t="inlineStr">
        <is>
          <t>Crear con solo el nombre genera la Persona y la Ficha asociada, activa.</t>
        </is>
      </c>
      <c r="F72" s="7" t="inlineStr">
        <is>
          <t>Base de datos vacía.</t>
        </is>
      </c>
      <c r="G72" s="7" t="inlineStr">
        <is>
          <t>EP-01</t>
        </is>
      </c>
      <c r="H72" s="7" t="inlineStr">
        <is>
          <t>1. Crear una ficha informando únicamente el nombre  →  La operación es exitosa
2. Consultar persona y ficha en la base  →  Se crearon la persona y la ficha, con la ficha en estado Activa</t>
        </is>
      </c>
      <c r="I72" s="7" t="inlineStr">
        <is>
          <t>Vicaria.UnitTests › SocialRecordServiceTests › CreateAsync_ConSoloElNombre_CreaPersonaYFichaActiva</t>
        </is>
      </c>
      <c r="J72" s="7" t="inlineStr">
        <is>
          <t>OK</t>
        </is>
      </c>
      <c r="K72" s="7" t="inlineStr">
        <is>
          <t>2026-10-14</t>
        </is>
      </c>
      <c r="L72" s="7" t="inlineStr">
        <is>
          <t>Suite automatizada</t>
        </is>
      </c>
    </row>
    <row r="73">
      <c r="A73" s="7" t="inlineStr">
        <is>
          <t>TA-072</t>
        </is>
      </c>
      <c r="B73" s="7" t="inlineStr">
        <is>
          <t>Sprint 1-2</t>
        </is>
      </c>
      <c r="C73" s="7" t="inlineStr">
        <is>
          <t>Pruebas automatizadas — Fichas de personas (EP-01)</t>
        </is>
      </c>
      <c r="D73" s="7" t="inlineStr">
        <is>
          <t>Validar que el contacto de referencia se cree y quede vinculado a la ficha</t>
        </is>
      </c>
      <c r="E73" s="7" t="inlineStr">
        <is>
          <t>Si se informa un contacto de referencia, queda vinculado a la ficha.</t>
        </is>
      </c>
      <c r="F73" s="7" t="inlineStr">
        <is>
          <t>Base de datos vacía.</t>
        </is>
      </c>
      <c r="G73" s="7" t="inlineStr">
        <is>
          <t>EP-01</t>
        </is>
      </c>
      <c r="H73" s="7" t="inlineStr">
        <is>
          <t>1. Crear una ficha informando nombre y un contacto  →  La operación es exitosa
2. Consultar la ficha y el contacto  →  El contacto existe y está vinculado a la ficha</t>
        </is>
      </c>
      <c r="I73" s="7" t="inlineStr">
        <is>
          <t>Vicaria.UnitTests › SocialRecordServiceTests › CreateAsync_ConContacto_LoVinculaALaFicha</t>
        </is>
      </c>
      <c r="J73" s="7" t="inlineStr">
        <is>
          <t>OK</t>
        </is>
      </c>
      <c r="K73" s="7" t="inlineStr">
        <is>
          <t>2026-10-14</t>
        </is>
      </c>
      <c r="L73" s="7" t="inlineStr">
        <is>
          <t>Suite automatizada</t>
        </is>
      </c>
    </row>
    <row r="74">
      <c r="A74" s="7" t="inlineStr">
        <is>
          <t>TA-073</t>
        </is>
      </c>
      <c r="B74" s="7" t="inlineStr">
        <is>
          <t>Sprint 1-2</t>
        </is>
      </c>
      <c r="C74" s="7" t="inlineStr">
        <is>
          <t>Pruebas automatizadas — Fichas de personas (EP-01)</t>
        </is>
      </c>
      <c r="D74" s="7" t="inlineStr">
        <is>
          <t>Validar que si no se informa contacto no se cree ninguno</t>
        </is>
      </c>
      <c r="E74" s="7" t="inlineStr">
        <is>
          <t>Sin contacto informado, no se crea un registro de contacto vacío.</t>
        </is>
      </c>
      <c r="F74" s="7" t="inlineStr">
        <is>
          <t>Base de datos vacía.</t>
        </is>
      </c>
      <c r="G74" s="7" t="inlineStr">
        <is>
          <t>EP-01</t>
        </is>
      </c>
      <c r="H74" s="7" t="inlineStr">
        <is>
          <t>1. Crear una ficha sin contacto  →  La operación es exitosa
2. Consultar la tabla de contactos  →  No existe ningún contacto</t>
        </is>
      </c>
      <c r="I74" s="7" t="inlineStr">
        <is>
          <t>Vicaria.UnitTests › SocialRecordServiceTests › CreateAsync_SinContacto_NoCreaContacto</t>
        </is>
      </c>
      <c r="J74" s="7" t="inlineStr">
        <is>
          <t>OK</t>
        </is>
      </c>
      <c r="K74" s="7" t="inlineStr">
        <is>
          <t>2026-10-14</t>
        </is>
      </c>
      <c r="L74" s="7" t="inlineStr">
        <is>
          <t>Suite automatizada</t>
        </is>
      </c>
    </row>
    <row r="75">
      <c r="A75" s="7" t="inlineStr">
        <is>
          <t>TA-074</t>
        </is>
      </c>
      <c r="B75" s="7" t="inlineStr">
        <is>
          <t>Sprint 1-2</t>
        </is>
      </c>
      <c r="C75" s="7" t="inlineStr">
        <is>
          <t>Pruebas automatizadas — Fichas de personas (EP-01)</t>
        </is>
      </c>
      <c r="D75" s="7" t="inlineStr">
        <is>
          <t>Validar que crear una ficha deje un registro de auditoría con el actor</t>
        </is>
      </c>
      <c r="E75" s="7" t="inlineStr">
        <is>
          <t>Crear una ficha deje un registro de auditoría con el actor</t>
        </is>
      </c>
      <c r="F75" s="7" t="inlineStr">
        <is>
          <t>Base de datos vacía.</t>
        </is>
      </c>
      <c r="G75" s="7" t="inlineStr">
        <is>
          <t>EP-01</t>
        </is>
      </c>
      <c r="H75" s="7" t="inlineStr">
        <is>
          <t>1. Crear una ficha indicando el actor  →  La operación es exitosa
2. Revisar la tabla de auditoría  →  Hay un AuditLog con el actor que creó la ficha</t>
        </is>
      </c>
      <c r="I75" s="7" t="inlineStr">
        <is>
          <t>Vicaria.UnitTests › SocialRecordServiceTests › CreateAsync_RegistraAuditLogConElActor</t>
        </is>
      </c>
      <c r="J75" s="7" t="inlineStr">
        <is>
          <t>OK</t>
        </is>
      </c>
      <c r="K75" s="7" t="inlineStr">
        <is>
          <t>2026-10-14</t>
        </is>
      </c>
      <c r="L75" s="7" t="inlineStr">
        <is>
          <t>Suite automatizada</t>
        </is>
      </c>
    </row>
    <row r="76">
      <c r="A76" s="7" t="inlineStr">
        <is>
          <t>TA-075</t>
        </is>
      </c>
      <c r="B76" s="7" t="inlineStr">
        <is>
          <t>Sprint 1-2</t>
        </is>
      </c>
      <c r="C76" s="7" t="inlineStr">
        <is>
          <t>Pruebas automatizadas — Fichas de personas (EP-01)</t>
        </is>
      </c>
      <c r="D76" s="7" t="inlineStr">
        <is>
          <t>Validar que buscar con parte del texto encuentre la ficha</t>
        </is>
      </c>
      <c r="E76" s="7" t="inlineStr">
        <is>
          <t>Buscar por una parte del nombre encuentra la ficha.</t>
        </is>
      </c>
      <c r="F76" s="7" t="inlineStr">
        <is>
          <t>Existe una ficha "Ramón Gómez".</t>
        </is>
      </c>
      <c r="G76" s="7" t="inlineStr">
        <is>
          <t>SCRUM-112</t>
        </is>
      </c>
      <c r="H76" s="7" t="inlineStr">
        <is>
          <t>1. Buscar con un texto parcial del apellido  →  Se devuelve la ficha de Ramón Gómez</t>
        </is>
      </c>
      <c r="I76" s="7" t="inlineStr">
        <is>
          <t>Vicaria.UnitTests › SocialRecordServiceTests › SearchAsync_ConTextoParcial_EncuentraLaFicha</t>
        </is>
      </c>
      <c r="J76" s="7" t="inlineStr">
        <is>
          <t>OK</t>
        </is>
      </c>
      <c r="K76" s="7" t="inlineStr">
        <is>
          <t>2026-10-14</t>
        </is>
      </c>
      <c r="L76" s="7" t="inlineStr">
        <is>
          <t>Suite automatizada</t>
        </is>
      </c>
    </row>
    <row r="77">
      <c r="A77" s="7" t="inlineStr">
        <is>
          <t>TA-076</t>
        </is>
      </c>
      <c r="B77" s="7" t="inlineStr">
        <is>
          <t>Sprint 1-2</t>
        </is>
      </c>
      <c r="C77" s="7" t="inlineStr">
        <is>
          <t>Pruebas automatizadas — Fichas de personas (EP-01)</t>
        </is>
      </c>
      <c r="D77" s="7" t="inlineStr">
        <is>
          <t>Validar que la búsqueda ignore tildes y mayúsculas</t>
        </is>
      </c>
      <c r="E77" s="7" t="inlineStr">
        <is>
          <t>La búsqueda ignora tildes y mayúsculas/minúsculas.</t>
        </is>
      </c>
      <c r="F77" s="7" t="inlineStr">
        <is>
          <t>Existe una ficha "Joaquín Gómez".</t>
        </is>
      </c>
      <c r="G77" s="7" t="inlineStr">
        <is>
          <t>SCRUM-112</t>
        </is>
      </c>
      <c r="H77" s="7" t="inlineStr">
        <is>
          <t>1. Buscar sin tilde y en minúsculas  →  Se devuelve la ficha
2. Buscar con tilde y en mayúsculas  →  Se devuelve la misma ficha</t>
        </is>
      </c>
      <c r="I77" s="7" t="inlineStr">
        <is>
          <t>Vicaria.UnitTests › SocialRecordServiceTests › SearchAsync_IgnoraTildesYMayusculas</t>
        </is>
      </c>
      <c r="J77" s="7" t="inlineStr">
        <is>
          <t>OK</t>
        </is>
      </c>
      <c r="K77" s="7" t="inlineStr">
        <is>
          <t>2026-10-14</t>
        </is>
      </c>
      <c r="L77" s="7" t="inlineStr">
        <is>
          <t>Suite automatizada</t>
        </is>
      </c>
    </row>
    <row r="78">
      <c r="A78" s="7" t="inlineStr">
        <is>
          <t>TA-077</t>
        </is>
      </c>
      <c r="B78" s="7" t="inlineStr">
        <is>
          <t>Sprint 1-2</t>
        </is>
      </c>
      <c r="C78" s="7" t="inlineStr">
        <is>
          <t>Pruebas automatizadas — Fichas de personas (EP-01)</t>
        </is>
      </c>
      <c r="D78" s="7" t="inlineStr">
        <is>
          <t>Validar que una búsqueda sin coincidencias devuelva una lista vacía</t>
        </is>
      </c>
      <c r="E78" s="7" t="inlineStr">
        <is>
          <t>Una búsqueda sin resultados devuelve una lista vacía, no un error.</t>
        </is>
      </c>
      <c r="F78" s="7" t="inlineStr">
        <is>
          <t>Existe una ficha "Ana".</t>
        </is>
      </c>
      <c r="G78" s="7" t="inlineStr">
        <is>
          <t>SCRUM-112</t>
        </is>
      </c>
      <c r="H78" s="7" t="inlineStr">
        <is>
          <t>1. Buscar un texto que no coincide con ninguna ficha  →  La lista devuelta está vacía, sin error</t>
        </is>
      </c>
      <c r="I78" s="7" t="inlineStr">
        <is>
          <t>Vicaria.UnitTests › SocialRecordServiceTests › SearchAsync_SinCoincidencias_DevuelveListaVacia</t>
        </is>
      </c>
      <c r="J78" s="7" t="inlineStr">
        <is>
          <t>OK</t>
        </is>
      </c>
      <c r="K78" s="7" t="inlineStr">
        <is>
          <t>2026-10-14</t>
        </is>
      </c>
      <c r="L78" s="7" t="inlineStr">
        <is>
          <t>Suite automatizada</t>
        </is>
      </c>
    </row>
    <row r="79">
      <c r="A79" s="7" t="inlineStr">
        <is>
          <t>TA-078</t>
        </is>
      </c>
      <c r="B79" s="7" t="inlineStr">
        <is>
          <t>Sprint 1-2</t>
        </is>
      </c>
      <c r="C79" s="7" t="inlineStr">
        <is>
          <t>Pruebas automatizadas — Fichas de personas (EP-01)</t>
        </is>
      </c>
      <c r="D79" s="7" t="inlineStr">
        <is>
          <t>Validar que una búsqueda vacía devuelva una lista vacía</t>
        </is>
      </c>
      <c r="E79" s="7" t="inlineStr">
        <is>
          <t>Buscar con el texto vacío devuelve una lista vacía en vez de todas las fichas.</t>
        </is>
      </c>
      <c r="F79" s="7" t="inlineStr">
        <is>
          <t>Base de datos vacía.</t>
        </is>
      </c>
      <c r="G79" s="7" t="inlineStr">
        <is>
          <t>SCRUM-112</t>
        </is>
      </c>
      <c r="H79" s="7" t="inlineStr">
        <is>
          <t>1. Buscar con el texto vacío  →  La lista devuelta está vacía</t>
        </is>
      </c>
      <c r="I79" s="7" t="inlineStr">
        <is>
          <t>Vicaria.UnitTests › SocialRecordServiceTests › SearchAsync_ConQueryVacio_DevuelveListaVacia</t>
        </is>
      </c>
      <c r="J79" s="7" t="inlineStr">
        <is>
          <t>OK</t>
        </is>
      </c>
      <c r="K79" s="7" t="inlineStr">
        <is>
          <t>2026-10-14</t>
        </is>
      </c>
      <c r="L79" s="7" t="inlineStr">
        <is>
          <t>Suite automatizada</t>
        </is>
      </c>
    </row>
    <row r="80">
      <c r="A80" s="7" t="inlineStr">
        <is>
          <t>TA-079</t>
        </is>
      </c>
      <c r="B80" s="7" t="inlineStr">
        <is>
          <t>Sprint 1-2</t>
        </is>
      </c>
      <c r="C80" s="7" t="inlineStr">
        <is>
          <t>Pruebas automatizadas — Fichas de personas (EP-01)</t>
        </is>
      </c>
      <c r="D80" s="7" t="inlineStr">
        <is>
          <t>Validar que actualizar una ficha guarde los datos nuevos</t>
        </is>
      </c>
      <c r="E80" s="7" t="inlineStr">
        <is>
          <t>Actualizar una ficha existente guarda los nuevos datos.</t>
        </is>
      </c>
      <c r="F80" s="7" t="inlineStr">
        <is>
          <t>Existe una ficha creada solo con el nombre.</t>
        </is>
      </c>
      <c r="G80" s="7" t="inlineStr">
        <is>
          <t>SCRUM-117</t>
        </is>
      </c>
      <c r="H80" s="7" t="inlineStr">
        <is>
          <t>1. Actualizar la ficha agregando apellido y otros datos  →  La operación es exitosa
2. Consultar la ficha  →  Los datos guardados coinciden con los enviados</t>
        </is>
      </c>
      <c r="I80" s="7" t="inlineStr">
        <is>
          <t>Vicaria.UnitTests › SocialRecordServiceTests › UpdateAsync_ConFichaExistente_ActualizaLosDatos</t>
        </is>
      </c>
      <c r="J80" s="7" t="inlineStr">
        <is>
          <t>OK</t>
        </is>
      </c>
      <c r="K80" s="7" t="inlineStr">
        <is>
          <t>2026-10-14</t>
        </is>
      </c>
      <c r="L80" s="7" t="inlineStr">
        <is>
          <t>Suite automatizada</t>
        </is>
      </c>
    </row>
    <row r="81">
      <c r="A81" s="7" t="inlineStr">
        <is>
          <t>TA-080</t>
        </is>
      </c>
      <c r="B81" s="7" t="inlineStr">
        <is>
          <t>Sprint 1-2</t>
        </is>
      </c>
      <c r="C81" s="7" t="inlineStr">
        <is>
          <t>Pruebas automatizadas — Fichas de personas (EP-01)</t>
        </is>
      </c>
      <c r="D81" s="7" t="inlineStr">
        <is>
          <t>Validar que actualizar una ficha inexistente devuelva NotFound</t>
        </is>
      </c>
      <c r="E81" s="7" t="inlineStr">
        <is>
          <t>Actualizar una ficha inexistente devuelve not found.</t>
        </is>
      </c>
      <c r="F81" s="7" t="inlineStr">
        <is>
          <t>No existe la ficha indicada.</t>
        </is>
      </c>
      <c r="G81" s="7" t="inlineStr">
        <is>
          <t>SCRUM-117</t>
        </is>
      </c>
      <c r="H81" s="7" t="inlineStr">
        <is>
          <t>1. Actualizar un id de ficha inexistente  →  La operación no es exitosa y devuelve NotFound</t>
        </is>
      </c>
      <c r="I81" s="7" t="inlineStr">
        <is>
          <t>Vicaria.UnitTests › SocialRecordServiceTests › UpdateAsync_ConFichaInexistente_DevuelveNotFound</t>
        </is>
      </c>
      <c r="J81" s="7" t="inlineStr">
        <is>
          <t>OK</t>
        </is>
      </c>
      <c r="K81" s="7" t="inlineStr">
        <is>
          <t>2026-10-14</t>
        </is>
      </c>
      <c r="L81" s="7" t="inlineStr">
        <is>
          <t>Suite automatizada</t>
        </is>
      </c>
    </row>
    <row r="82">
      <c r="A82" s="7" t="inlineStr">
        <is>
          <t>TA-081</t>
        </is>
      </c>
      <c r="B82" s="7" t="inlineStr">
        <is>
          <t>Sprint 1-2</t>
        </is>
      </c>
      <c r="C82" s="7" t="inlineStr">
        <is>
          <t>Pruebas automatizadas — Fichas de personas (EP-01)</t>
        </is>
      </c>
      <c r="D82" s="7" t="inlineStr">
        <is>
          <t>Validar que editar una ficha deje un registro de auditoría con el actor</t>
        </is>
      </c>
      <c r="E82" s="7" t="inlineStr">
        <is>
          <t>Editar una ficha deje un registro de auditoría con el actor</t>
        </is>
      </c>
      <c r="F82" s="7" t="inlineStr">
        <is>
          <t>Existe una ficha creada.</t>
        </is>
      </c>
      <c r="G82" s="7" t="inlineStr">
        <is>
          <t>SCRUM-117</t>
        </is>
      </c>
      <c r="H82" s="7" t="inlineStr">
        <is>
          <t>1. Actualizar la ficha indicando el actor  →  La operación es exitosa
2. Revisar la tabla de auditoría  →  Hay un AuditLog de la edición con el actor</t>
        </is>
      </c>
      <c r="I82" s="7" t="inlineStr">
        <is>
          <t>Vicaria.UnitTests › SocialRecordServiceTests › UpdateAsync_RegistraAuditLogConElActor</t>
        </is>
      </c>
      <c r="J82" s="7" t="inlineStr">
        <is>
          <t>OK</t>
        </is>
      </c>
      <c r="K82" s="7" t="inlineStr">
        <is>
          <t>2026-10-14</t>
        </is>
      </c>
      <c r="L82" s="7" t="inlineStr">
        <is>
          <t>Suite automatizada</t>
        </is>
      </c>
    </row>
    <row r="83">
      <c r="A83" s="7" t="inlineStr">
        <is>
          <t>TA-082</t>
        </is>
      </c>
      <c r="B83" s="7" t="inlineStr">
        <is>
          <t>Sprint 1-2</t>
        </is>
      </c>
      <c r="C83" s="7" t="inlineStr">
        <is>
          <t>Pruebas automatizadas — Fichas de personas (EP-01)</t>
        </is>
      </c>
      <c r="D83" s="7" t="inlineStr">
        <is>
          <t>Validar que el conteo del filtro respete el DNI y la fecha de ingreso</t>
        </is>
      </c>
      <c r="E83" s="7" t="inlineStr">
        <is>
          <t>El conteo del filtro respete el DNI y la fecha de ingreso</t>
        </is>
      </c>
      <c r="F83" s="7" t="inlineStr">
        <is>
          <t>Existen fichas con distintos DNI y fechas de ingreso.</t>
        </is>
      </c>
      <c r="G83" s="7" t="inlineStr">
        <is>
          <t>SCRUM-88, SCRUM-164</t>
        </is>
      </c>
      <c r="H83" s="7" t="inlineStr">
        <is>
          <t>1. Contar fichas filtrando por DNI y por rango de fechas  →  El conteo coincide con las fichas que cumplen cada filtro</t>
        </is>
      </c>
      <c r="I83" s="7" t="inlineStr">
        <is>
          <t>Vicaria.UnitTests › SocialRecordServiceTests › CountByFilterAsync_FiltraCorrectamentePorDniYFecha</t>
        </is>
      </c>
      <c r="J83" s="7" t="inlineStr">
        <is>
          <t>OK</t>
        </is>
      </c>
      <c r="K83" s="7" t="inlineStr">
        <is>
          <t>2026-10-14</t>
        </is>
      </c>
      <c r="L83" s="7" t="inlineStr">
        <is>
          <t>Suite automatizada</t>
        </is>
      </c>
    </row>
    <row r="84">
      <c r="A84" s="7" t="inlineStr">
        <is>
          <t>TA-083</t>
        </is>
      </c>
      <c r="B84" s="7" t="inlineStr">
        <is>
          <t>Sprint 1-2</t>
        </is>
      </c>
      <c r="C84" s="7" t="inlineStr">
        <is>
          <t>Pruebas automatizadas — Fichas de personas (EP-01)</t>
        </is>
      </c>
      <c r="D84" s="7" t="inlineStr">
        <is>
          <t>Validar que la búsqueda por texto se combine con los filtros</t>
        </is>
      </c>
      <c r="E84" s="7" t="inlineStr">
        <is>
          <t>La búsqueda por texto se combine con los filtros</t>
        </is>
      </c>
      <c r="F84" s="7" t="inlineStr">
        <is>
          <t>Existen varias fichas con distinto nombre, DNI y estado.</t>
        </is>
      </c>
      <c r="G84" s="7" t="inlineStr">
        <is>
          <t>SCRUM-88, SCRUM-164</t>
        </is>
      </c>
      <c r="H84" s="7" t="inlineStr">
        <is>
          <t>1. Pedir una página combinando texto de búsqueda y filtros  →  Solo se devuelven las fichas que cumplen todos los criterios</t>
        </is>
      </c>
      <c r="I84" s="7" t="inlineStr">
        <is>
          <t>Vicaria.UnitTests › SocialRecordServiceTests › GetPagedAsync_CombinaBusquedaYFiltros</t>
        </is>
      </c>
      <c r="J84" s="7" t="inlineStr">
        <is>
          <t>OK</t>
        </is>
      </c>
      <c r="K84" s="7" t="inlineStr">
        <is>
          <t>2026-10-14</t>
        </is>
      </c>
      <c r="L84" s="7" t="inlineStr">
        <is>
          <t>Suite automatizada</t>
        </is>
      </c>
    </row>
    <row r="85">
      <c r="A85" s="7" t="inlineStr">
        <is>
          <t>TA-084</t>
        </is>
      </c>
      <c r="B85" s="7" t="inlineStr">
        <is>
          <t>Sprint 1-2</t>
        </is>
      </c>
      <c r="C85" s="7" t="inlineStr">
        <is>
          <t>Pruebas automatizadas — Fichas de personas (EP-01)</t>
        </is>
      </c>
      <c r="D85" s="7" t="inlineStr">
        <is>
          <t>Validar que el servicio limite a la Directora de Casa de Convivencia a fichas de residentes</t>
        </is>
      </c>
      <c r="E85" s="7" t="inlineStr">
        <is>
          <t>El servicio limite a la Directora de Casa de Convivencia a fichas de residentes</t>
        </is>
      </c>
      <c r="F85" s="7" t="inlineStr">
        <is>
          <t>Existen una ficha Ambulatoria y otra Residente.</t>
        </is>
      </c>
      <c r="G85" s="7" t="inlineStr">
        <is>
          <t>SCRUM-13, SCRUM-64</t>
        </is>
      </c>
      <c r="H85" s="7" t="inlineStr">
        <is>
          <t>1. Pedir el listado como Directora de Casa de Convivencia  →  Solo se devuelve la ficha de Residente</t>
        </is>
      </c>
      <c r="I85" s="7" t="inlineStr">
        <is>
          <t>Vicaria.UnitTests › SocialRecordServiceTests › GetPagedAsync_ComoDirectoraDeCasona_SoloTraeResidentes</t>
        </is>
      </c>
      <c r="J85" s="7" t="inlineStr">
        <is>
          <t>OK</t>
        </is>
      </c>
      <c r="K85" s="7" t="inlineStr">
        <is>
          <t>2026-10-14</t>
        </is>
      </c>
      <c r="L85" s="7" t="inlineStr">
        <is>
          <t>Suite automatizada</t>
        </is>
      </c>
    </row>
    <row r="86">
      <c r="A86" s="7" t="inlineStr">
        <is>
          <t>TA-085</t>
        </is>
      </c>
      <c r="B86" s="7" t="inlineStr">
        <is>
          <t>Sprint 1-2</t>
        </is>
      </c>
      <c r="C86" s="7" t="inlineStr">
        <is>
          <t>Pruebas automatizadas — Fichas de personas (EP-01)</t>
        </is>
      </c>
      <c r="D86" s="7" t="inlineStr">
        <is>
          <t>Validar que el listado filtre por estado</t>
        </is>
      </c>
      <c r="E86" s="7" t="inlineStr">
        <is>
          <t>El listado filtre por estado</t>
        </is>
      </c>
      <c r="F86" s="7" t="inlineStr">
        <is>
          <t>Existen una ficha Activa y otra Inactiva.</t>
        </is>
      </c>
      <c r="G86" s="7" t="inlineStr">
        <is>
          <t>SCRUM-88, SCRUM-164</t>
        </is>
      </c>
      <c r="H86" s="7" t="inlineStr">
        <is>
          <t>1. Pedir el listado filtrando por estado Inactivo  →  Solo se devuelve la ficha Inactiva</t>
        </is>
      </c>
      <c r="I86" s="7" t="inlineStr">
        <is>
          <t>Vicaria.UnitTests › SocialRecordServiceTests › GetPagedAsync_ConEstado_FiltraPorEstado</t>
        </is>
      </c>
      <c r="J86" s="7" t="inlineStr">
        <is>
          <t>OK</t>
        </is>
      </c>
      <c r="K86" s="7" t="inlineStr">
        <is>
          <t>2026-10-14</t>
        </is>
      </c>
      <c r="L86" s="7" t="inlineStr">
        <is>
          <t>Suite automatizada</t>
        </is>
      </c>
    </row>
    <row r="87">
      <c r="A87" s="7" t="inlineStr">
        <is>
          <t>TA-086</t>
        </is>
      </c>
      <c r="B87" s="7" t="inlineStr">
        <is>
          <t>Sprint 1-2</t>
        </is>
      </c>
      <c r="C87" s="7" t="inlineStr">
        <is>
          <t>Pruebas automatizadas — Fichas de personas (EP-01)</t>
        </is>
      </c>
      <c r="D87" s="7" t="inlineStr">
        <is>
          <t>Validar que el listado filtre por tipo de persona</t>
        </is>
      </c>
      <c r="E87" s="7" t="inlineStr">
        <is>
          <t>El listado filtre por tipo de persona</t>
        </is>
      </c>
      <c r="F87" s="7" t="inlineStr">
        <is>
          <t>Existen una ficha Ambulatoria y otra Residente.</t>
        </is>
      </c>
      <c r="G87" s="7" t="inlineStr">
        <is>
          <t>SCRUM-88, SCRUM-164</t>
        </is>
      </c>
      <c r="H87" s="7" t="inlineStr">
        <is>
          <t>1. Pedir el listado filtrando por tipo Residente  →  Solo se devuelve la ficha Residente</t>
        </is>
      </c>
      <c r="I87" s="7" t="inlineStr">
        <is>
          <t>Vicaria.UnitTests › SocialRecordServiceTests › GetPagedAsync_ConTipoPersona_FiltraPorTipo</t>
        </is>
      </c>
      <c r="J87" s="7" t="inlineStr">
        <is>
          <t>OK</t>
        </is>
      </c>
      <c r="K87" s="7" t="inlineStr">
        <is>
          <t>2026-10-14</t>
        </is>
      </c>
      <c r="L87" s="7" t="inlineStr">
        <is>
          <t>Suite automatizada</t>
        </is>
      </c>
    </row>
    <row r="88">
      <c r="A88" s="7" t="inlineStr">
        <is>
          <t>TA-087</t>
        </is>
      </c>
      <c r="B88" s="7" t="inlineStr">
        <is>
          <t>Sprint 1-2</t>
        </is>
      </c>
      <c r="C88" s="7" t="inlineStr">
        <is>
          <t>Pruebas automatizadas — Fichas de personas (EP-01)</t>
        </is>
      </c>
      <c r="D88" s="7" t="inlineStr">
        <is>
          <t>Validar que el listado combine estado, tipo y rango de fechas</t>
        </is>
      </c>
      <c r="E88" s="7" t="inlineStr">
        <is>
          <t>El listado combine estado, tipo y rango de fechas</t>
        </is>
      </c>
      <c r="F88" s="7" t="inlineStr">
        <is>
          <t>Existen fichas Residente/Ambulatoria, Activas/Inactivas, con distintas fechas de ingreso.</t>
        </is>
      </c>
      <c r="G88" s="7" t="inlineStr">
        <is>
          <t>SCRUM-88, SCRUM-164</t>
        </is>
      </c>
      <c r="H88" s="7" t="inlineStr">
        <is>
          <t>1. Pedir el listado con estado, tipo y rango de fechas  →  Solo se devuelve la ficha que cumple los tres criterios</t>
        </is>
      </c>
      <c r="I88" s="7" t="inlineStr">
        <is>
          <t>Vicaria.UnitTests › SocialRecordServiceTests › GetPagedAsync_CombinaEstadoTipoYRangoDeFechas</t>
        </is>
      </c>
      <c r="J88" s="7" t="inlineStr">
        <is>
          <t>OK</t>
        </is>
      </c>
      <c r="K88" s="7" t="inlineStr">
        <is>
          <t>2026-10-14</t>
        </is>
      </c>
      <c r="L88" s="7" t="inlineStr">
        <is>
          <t>Suite automatizada</t>
        </is>
      </c>
    </row>
    <row r="89">
      <c r="A89" s="7" t="inlineStr">
        <is>
          <t>TA-088</t>
        </is>
      </c>
      <c r="B89" s="7" t="inlineStr">
        <is>
          <t>Sprint 1-2</t>
        </is>
      </c>
      <c r="C89" s="7" t="inlineStr">
        <is>
          <t>Pruebas automatizadas — Fichas de personas (EP-01)</t>
        </is>
      </c>
      <c r="D89" s="7" t="inlineStr">
        <is>
          <t>Validar que consultar una ficha devuelva el perfil completo</t>
        </is>
      </c>
      <c r="E89" s="7" t="inlineStr">
        <is>
          <t>Consultar una ficha devuelva el perfil completo</t>
        </is>
      </c>
      <c r="F89" s="7" t="inlineStr">
        <is>
          <t>Existe una ficha con DNI, motivo de derivación y contacto.</t>
        </is>
      </c>
      <c r="G89" s="7" t="inlineStr">
        <is>
          <t>EP-01</t>
        </is>
      </c>
      <c r="H89" s="7" t="inlineStr">
        <is>
          <t>1. Consultar la ficha por su id  →  Se devuelve el perfil con los datos personales, el motivo y el contacto</t>
        </is>
      </c>
      <c r="I89" s="7" t="inlineStr">
        <is>
          <t>Vicaria.UnitTests › SocialRecordServiceTests › GetByIdAsync_ConFichaExistente_DevuelveElPerfilCompleto</t>
        </is>
      </c>
      <c r="J89" s="7" t="inlineStr">
        <is>
          <t>OK</t>
        </is>
      </c>
      <c r="K89" s="7" t="inlineStr">
        <is>
          <t>2026-10-14</t>
        </is>
      </c>
      <c r="L89" s="7" t="inlineStr">
        <is>
          <t>Suite automatizada</t>
        </is>
      </c>
    </row>
    <row r="90">
      <c r="A90" s="7" t="inlineStr">
        <is>
          <t>TA-089</t>
        </is>
      </c>
      <c r="B90" s="7" t="inlineStr">
        <is>
          <t>Sprint 1-2</t>
        </is>
      </c>
      <c r="C90" s="7" t="inlineStr">
        <is>
          <t>Pruebas automatizadas — Fichas de personas (EP-01)</t>
        </is>
      </c>
      <c r="D90" s="7" t="inlineStr">
        <is>
          <t>Validar que consultar una ficha inexistente devuelva null</t>
        </is>
      </c>
      <c r="E90" s="7" t="inlineStr">
        <is>
          <t>Consultar una ficha inexistente devuelva null</t>
        </is>
      </c>
      <c r="F90" s="7" t="inlineStr">
        <is>
          <t>No existe la ficha indicada.</t>
        </is>
      </c>
      <c r="G90" s="7" t="inlineStr">
        <is>
          <t>EP-01</t>
        </is>
      </c>
      <c r="H90" s="7" t="inlineStr">
        <is>
          <t>1. Consultar un id inexistente  →  El resultado es null</t>
        </is>
      </c>
      <c r="I90" s="7" t="inlineStr">
        <is>
          <t>Vicaria.UnitTests › SocialRecordServiceTests › GetByIdAsync_ConFichaInexistente_DevuelveNull</t>
        </is>
      </c>
      <c r="J90" s="7" t="inlineStr">
        <is>
          <t>OK</t>
        </is>
      </c>
      <c r="K90" s="7" t="inlineStr">
        <is>
          <t>2026-10-14</t>
        </is>
      </c>
      <c r="L90" s="7" t="inlineStr">
        <is>
          <t>Suite automatizada</t>
        </is>
      </c>
    </row>
    <row r="91">
      <c r="A91" s="7" t="inlineStr">
        <is>
          <t>TA-090</t>
        </is>
      </c>
      <c r="B91" s="7" t="inlineStr">
        <is>
          <t>Sprint 1-2</t>
        </is>
      </c>
      <c r="C91" s="7" t="inlineStr">
        <is>
          <t>Pruebas automatizadas — Fichas de personas (EP-01)</t>
        </is>
      </c>
      <c r="D91" s="7" t="inlineStr">
        <is>
          <t>Validar que el DNI se guarde solo con dígitos al crear la ficha</t>
        </is>
      </c>
      <c r="E91" s="7" t="inlineStr">
        <is>
          <t>El DNI se guarde solo con dígitos al crear la ficha</t>
        </is>
      </c>
      <c r="F91" s="7" t="inlineStr">
        <is>
          <t>Base de datos vacía.</t>
        </is>
      </c>
      <c r="G91" s="7" t="inlineStr">
        <is>
          <t>SCRUM-112</t>
        </is>
      </c>
      <c r="H91" s="7" t="inlineStr">
        <is>
          <t>1. Crear una ficha con el DNI escrito con puntos  →  La ficha se crea
2. Consultar el DNI guardado  →  El DNI guardado es 38123456</t>
        </is>
      </c>
      <c r="I91" s="7" t="inlineStr">
        <is>
          <t>Vicaria.UnitTests › SocialRecordServiceTests › CreateAsync_ConDniConPuntosYEspacios_LoGuardaSoloConDigitos</t>
        </is>
      </c>
      <c r="J91" s="7" t="inlineStr">
        <is>
          <t>OK</t>
        </is>
      </c>
      <c r="K91" s="7" t="inlineStr">
        <is>
          <t>2026-10-14</t>
        </is>
      </c>
      <c r="L91" s="7" t="inlineStr">
        <is>
          <t>Suite automatizada</t>
        </is>
      </c>
    </row>
    <row r="92">
      <c r="A92" s="7" t="inlineStr">
        <is>
          <t>TA-091</t>
        </is>
      </c>
      <c r="B92" s="7" t="inlineStr">
        <is>
          <t>Sprint 1-2</t>
        </is>
      </c>
      <c r="C92" s="7" t="inlineStr">
        <is>
          <t>Pruebas automatizadas — Fichas de personas (EP-01)</t>
        </is>
      </c>
      <c r="D92" s="7" t="inlineStr">
        <is>
          <t>Validar que buscar el DNI solo con dígitos encuentre la ficha (hallazgo H06)</t>
        </is>
      </c>
      <c r="E92" s="7" t="inlineStr">
        <is>
          <t>Buscar el DNI solo con dígitos encuentre la ficha (hallazgo H06)</t>
        </is>
      </c>
      <c r="F92" s="7" t="inlineStr">
        <is>
          <t>Existe una ficha cargada con el DNI 38.123.456.</t>
        </is>
      </c>
      <c r="G92" s="7" t="inlineStr">
        <is>
          <t>SCRUM-112</t>
        </is>
      </c>
      <c r="H92" s="7" t="inlineStr">
        <is>
          <t>1. Buscar escribiendo solo los dígitos del DNI  →  Se devuelve la ficha</t>
        </is>
      </c>
      <c r="I92" s="7" t="inlineStr">
        <is>
          <t>Vicaria.UnitTests › SocialRecordServiceTests › SearchAsync_ConDniSinPuntos_EncuentraUnaFichaGuardadaConPuntos</t>
        </is>
      </c>
      <c r="J92" s="7" t="inlineStr">
        <is>
          <t>OK</t>
        </is>
      </c>
      <c r="K92" s="7" t="inlineStr">
        <is>
          <t>2026-10-14</t>
        </is>
      </c>
      <c r="L92" s="7" t="inlineStr">
        <is>
          <t>Suite automatizada</t>
        </is>
      </c>
    </row>
    <row r="93">
      <c r="A93" s="7" t="inlineStr">
        <is>
          <t>TA-092</t>
        </is>
      </c>
      <c r="B93" s="7" t="inlineStr">
        <is>
          <t>Sprint 1-2</t>
        </is>
      </c>
      <c r="C93" s="7" t="inlineStr">
        <is>
          <t>Pruebas automatizadas — Fichas de personas (EP-01)</t>
        </is>
      </c>
      <c r="D93" s="7" t="inlineStr">
        <is>
          <t>Validar que el DNI se normalice a dígitos al editar la ficha</t>
        </is>
      </c>
      <c r="E93" s="7" t="inlineStr">
        <is>
          <t>El DNI se normalice a dígitos al editar la ficha</t>
        </is>
      </c>
      <c r="F93" s="7" t="inlineStr">
        <is>
          <t>Existe una ficha sin DNI.</t>
        </is>
      </c>
      <c r="G93" s="7" t="inlineStr">
        <is>
          <t>SCRUM-112, SCRUM-117</t>
        </is>
      </c>
      <c r="H93" s="7" t="inlineStr">
        <is>
          <t>1. Actualizar la ficha con un DNI con puntos  →  La operación es exitosa
2. Consultar el DNI guardado  →  El DNI queda guardado solo con dígitos</t>
        </is>
      </c>
      <c r="I93" s="7" t="inlineStr">
        <is>
          <t>Vicaria.UnitTests › SocialRecordServiceTests › UpdateAsync_ConDniConPuntos_LoNormalizaSoloADigitos</t>
        </is>
      </c>
      <c r="J93" s="7" t="inlineStr">
        <is>
          <t>OK</t>
        </is>
      </c>
      <c r="K93" s="7" t="inlineStr">
        <is>
          <t>2026-10-14</t>
        </is>
      </c>
      <c r="L93" s="7" t="inlineStr">
        <is>
          <t>Suite automatizada</t>
        </is>
      </c>
    </row>
    <row r="94">
      <c r="A94" s="7" t="inlineStr">
        <is>
          <t>TA-093</t>
        </is>
      </c>
      <c r="B94" s="7" t="inlineStr">
        <is>
          <t>Sprint 1-2</t>
        </is>
      </c>
      <c r="C94" s="7" t="inlineStr">
        <is>
          <t>Pruebas automatizadas — Fichas de personas (EP-01)</t>
        </is>
      </c>
      <c r="D94" s="7" t="inlineStr">
        <is>
          <t>Validar que editar una ficha sin contacto permita agregar uno</t>
        </is>
      </c>
      <c r="E94" s="7" t="inlineStr">
        <is>
          <t>Editar una ficha sin contacto permita agregar uno</t>
        </is>
      </c>
      <c r="F94" s="7" t="inlineStr">
        <is>
          <t>Existe una ficha sin contacto.</t>
        </is>
      </c>
      <c r="G94" s="7" t="inlineStr">
        <is>
          <t>SCRUM-117</t>
        </is>
      </c>
      <c r="H94" s="7" t="inlineStr">
        <is>
          <t>1. Actualizar la ficha informando un contacto  →  La operación es exitosa
2. Consultar los contactos  →  Se creó el contacto y quedó vinculado a la ficha</t>
        </is>
      </c>
      <c r="I94" s="7" t="inlineStr">
        <is>
          <t>Vicaria.UnitTests › SocialRecordServiceTests › UpdateAsync_ConContactoNuevo_LoCrea</t>
        </is>
      </c>
      <c r="J94" s="7" t="inlineStr">
        <is>
          <t>OK</t>
        </is>
      </c>
      <c r="K94" s="7" t="inlineStr">
        <is>
          <t>2026-10-14</t>
        </is>
      </c>
      <c r="L94" s="7" t="inlineStr">
        <is>
          <t>Suite automatizada</t>
        </is>
      </c>
    </row>
    <row r="95">
      <c r="A95" s="7" t="inlineStr">
        <is>
          <t>TA-094</t>
        </is>
      </c>
      <c r="B95" s="7" t="inlineStr">
        <is>
          <t>Sprint 1-2</t>
        </is>
      </c>
      <c r="C95" s="7" t="inlineStr">
        <is>
          <t>Pruebas automatizadas — Fichas de personas (EP-01)</t>
        </is>
      </c>
      <c r="D95" s="7" t="inlineStr">
        <is>
          <t>Validar que editar el contacto de una ficha lo actualice (hallazgo H14)</t>
        </is>
      </c>
      <c r="E95" s="7" t="inlineStr">
        <is>
          <t>Editar el contacto de una ficha lo actualice (hallazgo H14)</t>
        </is>
      </c>
      <c r="F95" s="7" t="inlineStr">
        <is>
          <t>Existe una ficha con un contacto cargado.</t>
        </is>
      </c>
      <c r="G95" s="7" t="inlineStr">
        <is>
          <t>SCRUM-117</t>
        </is>
      </c>
      <c r="H95" s="7" t="inlineStr">
        <is>
          <t>1. Actualizar la ficha enviando el contacto con datos nuevos  →  La operación es exitosa
2. Consultar el contacto  →  El contacto muestra los datos nuevos, sin perderse</t>
        </is>
      </c>
      <c r="I95" s="7" t="inlineStr">
        <is>
          <t>Vicaria.UnitTests › SocialRecordServiceTests › UpdateAsync_ConContactoExistente_LoActualiza</t>
        </is>
      </c>
      <c r="J95" s="7" t="inlineStr">
        <is>
          <t>OK</t>
        </is>
      </c>
      <c r="K95" s="7" t="inlineStr">
        <is>
          <t>2026-10-14</t>
        </is>
      </c>
      <c r="L95" s="7" t="inlineStr">
        <is>
          <t>Suite automatizada</t>
        </is>
      </c>
    </row>
    <row r="96">
      <c r="A96" s="7" t="inlineStr">
        <is>
          <t>TA-095</t>
        </is>
      </c>
      <c r="B96" s="7" t="inlineStr">
        <is>
          <t>Sprint 1-2</t>
        </is>
      </c>
      <c r="C96" s="7" t="inlineStr">
        <is>
          <t>Pruebas automatizadas — Fichas de personas (EP-01)</t>
        </is>
      </c>
      <c r="D96" s="7" t="inlineStr">
        <is>
          <t>Validar que quitar el contacto en la edición lo elimine</t>
        </is>
      </c>
      <c r="E96" s="7" t="inlineStr">
        <is>
          <t>Quitar el contacto en la edición lo elimine</t>
        </is>
      </c>
      <c r="F96" s="7" t="inlineStr">
        <is>
          <t>Existe una ficha con un contacto cargado.</t>
        </is>
      </c>
      <c r="G96" s="7" t="inlineStr">
        <is>
          <t>SCRUM-117</t>
        </is>
      </c>
      <c r="H96" s="7" t="inlineStr">
        <is>
          <t>1. Actualizar la ficha sin enviar contacto  →  La operación es exitosa
2. Consultar la tabla de contactos  →  El contacto fue eliminado</t>
        </is>
      </c>
      <c r="I96" s="7" t="inlineStr">
        <is>
          <t>Vicaria.UnitTests › SocialRecordServiceTests › UpdateAsync_SinContactoYHabiaUno_LoElimina</t>
        </is>
      </c>
      <c r="J96" s="7" t="inlineStr">
        <is>
          <t>OK</t>
        </is>
      </c>
      <c r="K96" s="7" t="inlineStr">
        <is>
          <t>2026-10-14</t>
        </is>
      </c>
      <c r="L96" s="7" t="inlineStr">
        <is>
          <t>Suite automatizada</t>
        </is>
      </c>
    </row>
    <row r="97">
      <c r="A97" s="7" t="inlineStr">
        <is>
          <t>TA-096</t>
        </is>
      </c>
      <c r="B97" s="7" t="inlineStr">
        <is>
          <t>Sprint 1-2</t>
        </is>
      </c>
      <c r="C97" s="7" t="inlineStr">
        <is>
          <t>Pruebas automatizadas — Fichas de personas (EP-01)</t>
        </is>
      </c>
      <c r="D97" s="7" t="inlineStr">
        <is>
          <t>Validar que no se pueda pasar a Residente sin evaluación psiquiátrica vigente</t>
        </is>
      </c>
      <c r="E97" s="7" t="inlineStr">
        <is>
          <t>No se pueda pasar a Residente sin evaluación psiquiátrica vigente</t>
        </is>
      </c>
      <c r="F97" s="7" t="inlineStr">
        <is>
          <t>Existe una ficha Ambulatoria sin evaluación psiquiátrica.</t>
        </is>
      </c>
      <c r="G97" s="7" t="inlineStr">
        <is>
          <t>EP-12</t>
        </is>
      </c>
      <c r="H97" s="7" t="inlineStr">
        <is>
          <t>1. Actualizar la ficha cambiando el tipo a Residente  →  La operación no es exitosa y devuelve MissingPsychiatricEvaluation</t>
        </is>
      </c>
      <c r="I97" s="7" t="inlineStr">
        <is>
          <t>Vicaria.UnitTests › SocialRecordServiceTests › UpdateAsync_AResidenteSinEvaluacion_DevuelveMissingPsychiatricEvaluation</t>
        </is>
      </c>
      <c r="J97" s="7" t="inlineStr">
        <is>
          <t>OK</t>
        </is>
      </c>
      <c r="K97" s="7" t="inlineStr">
        <is>
          <t>2026-10-14</t>
        </is>
      </c>
      <c r="L97" s="7" t="inlineStr">
        <is>
          <t>Suite automatizada</t>
        </is>
      </c>
    </row>
    <row r="98">
      <c r="A98" s="7" t="inlineStr">
        <is>
          <t>TA-097</t>
        </is>
      </c>
      <c r="B98" s="7" t="inlineStr">
        <is>
          <t>Sprint 1-2</t>
        </is>
      </c>
      <c r="C98" s="7" t="inlineStr">
        <is>
          <t>Pruebas automatizadas — Fichas de personas (EP-01)</t>
        </is>
      </c>
      <c r="D98" s="7" t="inlineStr">
        <is>
          <t>Validar que no se pueda pasar a Ambulatorio con una estadía activa</t>
        </is>
      </c>
      <c r="E98" s="7" t="inlineStr">
        <is>
          <t>No se pueda pasar a Ambulatorio con una estadía activa</t>
        </is>
      </c>
      <c r="F98" s="7" t="inlineStr">
        <is>
          <t>Existe una ficha con una estadía en Casa de Convivencia sin egreso y una evaluación vigente.</t>
        </is>
      </c>
      <c r="G98" s="7" t="inlineStr">
        <is>
          <t>EP-12</t>
        </is>
      </c>
      <c r="H98" s="7" t="inlineStr">
        <is>
          <t>1. Actualizar la ficha cambiando el tipo a Ambulatorio  →  La operación no es exitosa y devuelve ActiveStayMustBeExitedFirst</t>
        </is>
      </c>
      <c r="I98" s="7" t="inlineStr">
        <is>
          <t>Vicaria.UnitTests › SocialRecordServiceTests › UpdateAsync_AAmbulatorioConEstadiaActiva_DevuelveActiveStayMustBeExitedFirst</t>
        </is>
      </c>
      <c r="J98" s="7" t="inlineStr">
        <is>
          <t>OK</t>
        </is>
      </c>
      <c r="K98" s="7" t="inlineStr">
        <is>
          <t>2026-10-14</t>
        </is>
      </c>
      <c r="L98" s="7" t="inlineStr">
        <is>
          <t>Suite automatizada</t>
        </is>
      </c>
    </row>
    <row r="99">
      <c r="A99" s="7" t="inlineStr">
        <is>
          <t>TA-098</t>
        </is>
      </c>
      <c r="B99" s="7" t="inlineStr">
        <is>
          <t>Sprint 1-2</t>
        </is>
      </c>
      <c r="C99" s="7" t="inlineStr">
        <is>
          <t>Pruebas automatizadas — Tipo y estado de persona (EP-01 / EP-12)</t>
        </is>
      </c>
      <c r="D99" s="7" t="inlineStr">
        <is>
          <t>Validar que no se pueda pasar a Residente sin evaluación psiquiátrica</t>
        </is>
      </c>
      <c r="E99" s="7" t="inlineStr">
        <is>
          <t>Pasar a Residente sin evaluación vigente se rechaza.</t>
        </is>
      </c>
      <c r="F99" s="7" t="inlineStr">
        <is>
          <t>Existe una persona con ficha, sin evaluación psiquiátrica.</t>
        </is>
      </c>
      <c r="G99" s="7" t="inlineStr">
        <is>
          <t>EP-12</t>
        </is>
      </c>
      <c r="H99" s="7" t="inlineStr">
        <is>
          <t>1. Cambiar el tipo de la persona a Residente  →  La operación no es exitosa y devuelve MissingPsychiatricEvaluation</t>
        </is>
      </c>
      <c r="I99" s="7" t="inlineStr">
        <is>
          <t>Vicaria.UnitTests › PersonTypeUpdateTests › SetResident_SinEvaluacion_DevuelveMissingPsychiatricEvaluation</t>
        </is>
      </c>
      <c r="J99" s="7" t="inlineStr">
        <is>
          <t>OK</t>
        </is>
      </c>
      <c r="K99" s="7" t="inlineStr">
        <is>
          <t>2026-10-14</t>
        </is>
      </c>
      <c r="L99" s="7" t="inlineStr">
        <is>
          <t>Suite automatizada</t>
        </is>
      </c>
    </row>
    <row r="100">
      <c r="A100" s="7" t="inlineStr">
        <is>
          <t>TA-099</t>
        </is>
      </c>
      <c r="B100" s="7" t="inlineStr">
        <is>
          <t>Sprint 1-2</t>
        </is>
      </c>
      <c r="C100" s="7" t="inlineStr">
        <is>
          <t>Pruebas automatizadas — Tipo y estado de persona (EP-01 / EP-12)</t>
        </is>
      </c>
      <c r="D100" s="7" t="inlineStr">
        <is>
          <t>Validar que con evaluación psiquiátrica vigente se pueda pasar a Residente</t>
        </is>
      </c>
      <c r="E100" s="7" t="inlineStr">
        <is>
          <t>Con evaluación vigente, el cambio se confirma.</t>
        </is>
      </c>
      <c r="F100" s="7" t="inlineStr">
        <is>
          <t>Existe una persona con ficha y una evaluación psiquiátrica vigente.</t>
        </is>
      </c>
      <c r="G100" s="7" t="inlineStr">
        <is>
          <t>EP-12</t>
        </is>
      </c>
      <c r="H100" s="7" t="inlineStr">
        <is>
          <t>1. Cambiar el tipo de la persona a Residente  →  La operación es exitosa</t>
        </is>
      </c>
      <c r="I100" s="7" t="inlineStr">
        <is>
          <t>Vicaria.UnitTests › PersonTypeUpdateTests › SetResident_ConEvaluacionVigente_DevuelveOk</t>
        </is>
      </c>
      <c r="J100" s="7" t="inlineStr">
        <is>
          <t>OK</t>
        </is>
      </c>
      <c r="K100" s="7" t="inlineStr">
        <is>
          <t>2026-10-14</t>
        </is>
      </c>
      <c r="L100" s="7" t="inlineStr">
        <is>
          <t>Suite automatizada</t>
        </is>
      </c>
    </row>
    <row r="101">
      <c r="A101" s="7" t="inlineStr">
        <is>
          <t>TA-100</t>
        </is>
      </c>
      <c r="B101" s="7" t="inlineStr">
        <is>
          <t>Sprint 1-2</t>
        </is>
      </c>
      <c r="C101" s="7" t="inlineStr">
        <is>
          <t>Pruebas automatizadas — Tipo y estado de persona (EP-01 / EP-12)</t>
        </is>
      </c>
      <c r="D101" s="7" t="inlineStr">
        <is>
          <t>Validar que al pasar a Residente se cree la estadía en Casa de Convivencia con ingreso de hoy</t>
        </is>
      </c>
      <c r="E101" s="7" t="inlineStr">
        <is>
          <t>Pasar a Residente crea la estadía con fecha de hoy.</t>
        </is>
      </c>
      <c r="F101" s="7" t="inlineStr">
        <is>
          <t>Existe una persona con ficha y evaluación vigente.</t>
        </is>
      </c>
      <c r="G101" s="7" t="inlineStr">
        <is>
          <t>EP-12</t>
        </is>
      </c>
      <c r="H101" s="7" t="inlineStr">
        <is>
          <t>1. Cambiar el tipo de la persona a Residente  →  La operación es exitosa
2. Consultar las estadías de la persona  →  Existe una estadía creada con fecha de ingreso de hoy</t>
        </is>
      </c>
      <c r="I101" s="7" t="inlineStr">
        <is>
          <t>Vicaria.UnitTests › PersonTypeUpdateTests › SetResident_ConEvaluacionVigente_CreaEstadiaCasaConvivenciaConEntryDateHoy</t>
        </is>
      </c>
      <c r="J101" s="7" t="inlineStr">
        <is>
          <t>OK</t>
        </is>
      </c>
      <c r="K101" s="7" t="inlineStr">
        <is>
          <t>2026-10-14</t>
        </is>
      </c>
      <c r="L101" s="7" t="inlineStr">
        <is>
          <t>Suite automatizada</t>
        </is>
      </c>
    </row>
    <row r="102">
      <c r="A102" s="7" t="inlineStr">
        <is>
          <t>TA-101</t>
        </is>
      </c>
      <c r="B102" s="7" t="inlineStr">
        <is>
          <t>Sprint 1-2</t>
        </is>
      </c>
      <c r="C102" s="7" t="inlineStr">
        <is>
          <t>Pruebas automatizadas — Tipo y estado de persona (EP-01 / EP-12)</t>
        </is>
      </c>
      <c r="D102" s="7" t="inlineStr">
        <is>
          <t>Validar que pasar a Ambulatorio no cree estadías</t>
        </is>
      </c>
      <c r="E102" s="7" t="inlineStr">
        <is>
          <t>Pasar a Ambulatorio no crea una estadía.</t>
        </is>
      </c>
      <c r="F102" s="7" t="inlineStr">
        <is>
          <t>Existe una persona con ficha.</t>
        </is>
      </c>
      <c r="G102" s="7" t="inlineStr">
        <is>
          <t>EP-12</t>
        </is>
      </c>
      <c r="H102" s="7" t="inlineStr">
        <is>
          <t>1. Cambiar el tipo de la persona a Ambulatorio  →  La operación es exitosa
2. Consultar las estadías  →  No existe ninguna estadía</t>
        </is>
      </c>
      <c r="I102" s="7" t="inlineStr">
        <is>
          <t>Vicaria.UnitTests › PersonTypeUpdateTests › SetAmbulatory_NoCreaEstadiaCasaConvivencia</t>
        </is>
      </c>
      <c r="J102" s="7" t="inlineStr">
        <is>
          <t>OK</t>
        </is>
      </c>
      <c r="K102" s="7" t="inlineStr">
        <is>
          <t>2026-10-14</t>
        </is>
      </c>
      <c r="L102" s="7" t="inlineStr">
        <is>
          <t>Suite automatizada</t>
        </is>
      </c>
    </row>
    <row r="103">
      <c r="A103" s="7" t="inlineStr">
        <is>
          <t>TA-102</t>
        </is>
      </c>
      <c r="B103" s="7" t="inlineStr">
        <is>
          <t>Sprint 1-2</t>
        </is>
      </c>
      <c r="C103" s="7" t="inlineStr">
        <is>
          <t>Pruebas automatizadas — Tipo y estado de persona (EP-01 / EP-12)</t>
        </is>
      </c>
      <c r="D103" s="7" t="inlineStr">
        <is>
          <t>Validar que volver a marcar Residente a quien ya lo es no duplique la estadía</t>
        </is>
      </c>
      <c r="E103" s="7" t="inlineStr">
        <is>
          <t>Volver a confirmar Residente no duplica la estadía.</t>
        </is>
      </c>
      <c r="F103" s="7" t="inlineStr">
        <is>
          <t>Existe una persona con ficha y evaluación vigente.</t>
        </is>
      </c>
      <c r="G103" s="7" t="inlineStr">
        <is>
          <t>EP-12</t>
        </is>
      </c>
      <c r="H103" s="7" t="inlineStr">
        <is>
          <t>1. Marcar a la persona como Residente dos veces  →  Ambas operaciones finalizan
2. Contar las estadías  →  Existe una sola estadía</t>
        </is>
      </c>
      <c r="I103" s="7" t="inlineStr">
        <is>
          <t>Vicaria.UnitTests › PersonTypeUpdateTests › ReesetearResidente_NoDuplicaEstadiaCasaConvivencia</t>
        </is>
      </c>
      <c r="J103" s="7" t="inlineStr">
        <is>
          <t>OK</t>
        </is>
      </c>
      <c r="K103" s="7" t="inlineStr">
        <is>
          <t>2026-10-14</t>
        </is>
      </c>
      <c r="L103" s="7" t="inlineStr">
        <is>
          <t>Suite automatizada</t>
        </is>
      </c>
    </row>
    <row r="104">
      <c r="A104" s="7" t="inlineStr">
        <is>
          <t>TA-103</t>
        </is>
      </c>
      <c r="B104" s="7" t="inlineStr">
        <is>
          <t>Sprint 1-2</t>
        </is>
      </c>
      <c r="C104" s="7" t="inlineStr">
        <is>
          <t>Pruebas automatizadas — Tipo y estado de persona (EP-01 / EP-12)</t>
        </is>
      </c>
      <c r="D104" s="7" t="inlineStr">
        <is>
          <t>Validar que la creación automática de la estadía deje auditoría</t>
        </is>
      </c>
      <c r="E104" s="7" t="inlineStr">
        <is>
          <t>Crear la estadía deja un AuditLog.</t>
        </is>
      </c>
      <c r="F104" s="7" t="inlineStr">
        <is>
          <t>Existe una persona con ficha y evaluación vigente.</t>
        </is>
      </c>
      <c r="G104" s="7" t="inlineStr">
        <is>
          <t>EP-12</t>
        </is>
      </c>
      <c r="H104" s="7" t="inlineStr">
        <is>
          <t>1. Marcar a la persona como Residente indicando el actor  →  La operación es exitosa
2. Revisar la tabla de auditoría  →  Hay un AuditLog de la creación de la estadía con el actor</t>
        </is>
      </c>
      <c r="I104" s="7" t="inlineStr">
        <is>
          <t>Vicaria.UnitTests › PersonTypeUpdateTests › CreaEstadiaCasaConvivencia_RegistraAuditLog</t>
        </is>
      </c>
      <c r="J104" s="7" t="inlineStr">
        <is>
          <t>OK</t>
        </is>
      </c>
      <c r="K104" s="7" t="inlineStr">
        <is>
          <t>2026-10-14</t>
        </is>
      </c>
      <c r="L104" s="7" t="inlineStr">
        <is>
          <t>Suite automatizada</t>
        </is>
      </c>
    </row>
    <row r="105">
      <c r="A105" s="7" t="inlineStr">
        <is>
          <t>TA-104</t>
        </is>
      </c>
      <c r="B105" s="7" t="inlineStr">
        <is>
          <t>Sprint 1-2</t>
        </is>
      </c>
      <c r="C105" s="7" t="inlineStr">
        <is>
          <t>Pruebas automatizadas — Tipo y estado de persona (EP-01 / EP-12)</t>
        </is>
      </c>
      <c r="D105" s="7" t="inlineStr">
        <is>
          <t>Validar que una evaluación no vigente no habilite el pase a Residente</t>
        </is>
      </c>
      <c r="E105" s="7" t="inlineStr">
        <is>
          <t>Una evaluación no vigente tampoco alcanza.</t>
        </is>
      </c>
      <c r="F105" s="7" t="inlineStr">
        <is>
          <t>Existe una persona con ficha y una evaluación psiquiátrica no vigente.</t>
        </is>
      </c>
      <c r="G105" s="7" t="inlineStr">
        <is>
          <t>EP-12</t>
        </is>
      </c>
      <c r="H105" s="7" t="inlineStr">
        <is>
          <t>1. Cambiar el tipo de la persona a Residente  →  La operación no es exitosa y devuelve MissingPsychiatricEvaluation</t>
        </is>
      </c>
      <c r="I105" s="7" t="inlineStr">
        <is>
          <t>Vicaria.UnitTests › PersonTypeUpdateTests › SetResident_ConEvaluacionNoVigente_DevuelveMissingPsychiatricEvaluation</t>
        </is>
      </c>
      <c r="J105" s="7" t="inlineStr">
        <is>
          <t>OK</t>
        </is>
      </c>
      <c r="K105" s="7" t="inlineStr">
        <is>
          <t>2026-10-14</t>
        </is>
      </c>
      <c r="L105" s="7" t="inlineStr">
        <is>
          <t>Suite automatizada</t>
        </is>
      </c>
    </row>
    <row r="106">
      <c r="A106" s="7" t="inlineStr">
        <is>
          <t>TA-105</t>
        </is>
      </c>
      <c r="B106" s="7" t="inlineStr">
        <is>
          <t>Sprint 1-2</t>
        </is>
      </c>
      <c r="C106" s="7" t="inlineStr">
        <is>
          <t>Pruebas automatizadas — Tipo y estado de persona (EP-01 / EP-12)</t>
        </is>
      </c>
      <c r="D106" s="7" t="inlineStr">
        <is>
          <t>Validar que pasar a Ambulatorio no exija evaluación psiquiátrica</t>
        </is>
      </c>
      <c r="E106" s="7" t="inlineStr">
        <is>
          <t>Pasar a Ambulatorio no requiere evaluación.</t>
        </is>
      </c>
      <c r="F106" s="7" t="inlineStr">
        <is>
          <t>Existe una persona con ficha, sin evaluación.</t>
        </is>
      </c>
      <c r="G106" s="7" t="inlineStr">
        <is>
          <t>EP-12</t>
        </is>
      </c>
      <c r="H106" s="7" t="inlineStr">
        <is>
          <t>1. Cambiar el tipo de la persona a Ambulatorio  →  La operación es exitosa</t>
        </is>
      </c>
      <c r="I106" s="7" t="inlineStr">
        <is>
          <t>Vicaria.UnitTests › PersonTypeUpdateTests › SetAmbulatory_SinEvaluacion_DevuelveOk</t>
        </is>
      </c>
      <c r="J106" s="7" t="inlineStr">
        <is>
          <t>OK</t>
        </is>
      </c>
      <c r="K106" s="7" t="inlineStr">
        <is>
          <t>2026-10-14</t>
        </is>
      </c>
      <c r="L106" s="7" t="inlineStr">
        <is>
          <t>Suite automatizada</t>
        </is>
      </c>
    </row>
    <row r="107">
      <c r="A107" s="7" t="inlineStr">
        <is>
          <t>TA-106</t>
        </is>
      </c>
      <c r="B107" s="7" t="inlineStr">
        <is>
          <t>Sprint 1-2</t>
        </is>
      </c>
      <c r="C107" s="7" t="inlineStr">
        <is>
          <t>Pruebas automatizadas — Tipo y estado de persona (EP-01 / EP-12)</t>
        </is>
      </c>
      <c r="D107" s="7" t="inlineStr">
        <is>
          <t>Validar que cambiar el tipo de una persona inexistente devuelva PersonNotFound</t>
        </is>
      </c>
      <c r="E107" s="7" t="inlineStr">
        <is>
          <t>Persona inexistente devuelve el error correspondiente.</t>
        </is>
      </c>
      <c r="F107" s="7" t="inlineStr">
        <is>
          <t>No existe la persona indicada.</t>
        </is>
      </c>
      <c r="G107" s="7" t="inlineStr">
        <is>
          <t>EP-12</t>
        </is>
      </c>
      <c r="H107" s="7" t="inlineStr">
        <is>
          <t>1. Cambiar el tipo de un id inexistente  →  La operación no es exitosa y devuelve PersonNotFound</t>
        </is>
      </c>
      <c r="I107" s="7" t="inlineStr">
        <is>
          <t>Vicaria.UnitTests › PersonTypeUpdateTests › PersonaInexistente_DevuelvePersonNotFound</t>
        </is>
      </c>
      <c r="J107" s="7" t="inlineStr">
        <is>
          <t>OK</t>
        </is>
      </c>
      <c r="K107" s="7" t="inlineStr">
        <is>
          <t>2026-10-14</t>
        </is>
      </c>
      <c r="L107" s="7" t="inlineStr">
        <is>
          <t>Suite automatizada</t>
        </is>
      </c>
    </row>
    <row r="108">
      <c r="A108" s="7" t="inlineStr">
        <is>
          <t>TA-107</t>
        </is>
      </c>
      <c r="B108" s="7" t="inlineStr">
        <is>
          <t>Sprint 1-2</t>
        </is>
      </c>
      <c r="C108" s="7" t="inlineStr">
        <is>
          <t>Pruebas automatizadas — Tipo y estado de persona (EP-01 / EP-12)</t>
        </is>
      </c>
      <c r="D108" s="7" t="inlineStr">
        <is>
          <t>Validar que cambiar el tipo de una persona sin ficha devuelva SocialRecordNotFound</t>
        </is>
      </c>
      <c r="E108" s="7" t="inlineStr">
        <is>
          <t>Persona sin ficha asociada devuelve el error correspondiente.</t>
        </is>
      </c>
      <c r="F108" s="7" t="inlineStr">
        <is>
          <t>Existe una persona que no tiene ficha asociada.</t>
        </is>
      </c>
      <c r="G108" s="7" t="inlineStr">
        <is>
          <t>EP-12</t>
        </is>
      </c>
      <c r="H108" s="7" t="inlineStr">
        <is>
          <t>1. Cambiar el tipo de la persona  →  La operación no es exitosa y devuelve SocialRecordNotFound</t>
        </is>
      </c>
      <c r="I108" s="7" t="inlineStr">
        <is>
          <t>Vicaria.UnitTests › PersonTypeUpdateTests › PersonaSinFicha_DevuelveSocialRecordNotFound</t>
        </is>
      </c>
      <c r="J108" s="7" t="inlineStr">
        <is>
          <t>OK</t>
        </is>
      </c>
      <c r="K108" s="7" t="inlineStr">
        <is>
          <t>2026-10-14</t>
        </is>
      </c>
      <c r="L108" s="7" t="inlineStr">
        <is>
          <t>Suite automatizada</t>
        </is>
      </c>
    </row>
    <row r="109">
      <c r="A109" s="7" t="inlineStr">
        <is>
          <t>TA-108</t>
        </is>
      </c>
      <c r="B109" s="7" t="inlineStr">
        <is>
          <t>Sprint 1-2</t>
        </is>
      </c>
      <c r="C109" s="7" t="inlineStr">
        <is>
          <t>Pruebas automatizadas — Tipo y estado de persona (EP-01 / EP-12)</t>
        </is>
      </c>
      <c r="D109" s="7" t="inlineStr">
        <is>
          <t>Validar que el cambio de tipo deje un registro de auditoría</t>
        </is>
      </c>
      <c r="E109" s="7" t="inlineStr">
        <is>
          <t>Cambiar el tipo deja un AuditLog.</t>
        </is>
      </c>
      <c r="F109" s="7" t="inlineStr">
        <is>
          <t>Existe una persona con ficha.</t>
        </is>
      </c>
      <c r="G109" s="7" t="inlineStr">
        <is>
          <t>EP-12</t>
        </is>
      </c>
      <c r="H109" s="7" t="inlineStr">
        <is>
          <t>1. Cambiar el tipo a Ambulatorio indicando el actor  →  La operación es exitosa
2. Revisar la tabla de auditoría  →  Hay un AuditLog del cambio con el actor</t>
        </is>
      </c>
      <c r="I109" s="7" t="inlineStr">
        <is>
          <t>Vicaria.UnitTests › PersonTypeUpdateTests › CambioTipo_RegistraAuditLog</t>
        </is>
      </c>
      <c r="J109" s="7" t="inlineStr">
        <is>
          <t>OK</t>
        </is>
      </c>
      <c r="K109" s="7" t="inlineStr">
        <is>
          <t>2026-10-14</t>
        </is>
      </c>
      <c r="L109" s="7" t="inlineStr">
        <is>
          <t>Suite automatizada</t>
        </is>
      </c>
    </row>
    <row r="110">
      <c r="A110" s="7" t="inlineStr">
        <is>
          <t>TA-109</t>
        </is>
      </c>
      <c r="B110" s="7" t="inlineStr">
        <is>
          <t>Sprint 1-2</t>
        </is>
      </c>
      <c r="C110" s="7" t="inlineStr">
        <is>
          <t>Pruebas automatizadas — Tipo y estado de persona (EP-01 / EP-12)</t>
        </is>
      </c>
      <c r="D110" s="7" t="inlineStr">
        <is>
          <t>Validar que no se pueda pasar a Ambulatorio con una estadía activa (hallazgo H10)</t>
        </is>
      </c>
      <c r="E110" s="7" t="inlineStr">
        <is>
          <t>(NUEVO, H10) Dejar de ser Residente con una estadía abierta se bloquea.</t>
        </is>
      </c>
      <c r="F110" s="7" t="inlineStr">
        <is>
          <t>Persona Residente con evaluación vigente y una estadía sin egreso.</t>
        </is>
      </c>
      <c r="G110" s="7" t="inlineStr">
        <is>
          <t>EP-12</t>
        </is>
      </c>
      <c r="H110" s="7" t="inlineStr">
        <is>
          <t>1. Cambiar el tipo de la persona a Ambulatorio  →  La operación no es exitosa y devuelve ActiveStayMustBeExitedFirst</t>
        </is>
      </c>
      <c r="I110" s="7" t="inlineStr">
        <is>
          <t>Vicaria.UnitTests › PersonTypeUpdateTests › SetAmbulatory_ConEstadiaActiva_DevuelveActiveStayMustBeExitedFirst</t>
        </is>
      </c>
      <c r="J110" s="7" t="inlineStr">
        <is>
          <t>OK</t>
        </is>
      </c>
      <c r="K110" s="7" t="inlineStr">
        <is>
          <t>2026-10-14</t>
        </is>
      </c>
      <c r="L110" s="7" t="inlineStr">
        <is>
          <t>Suite automatizada</t>
        </is>
      </c>
    </row>
    <row r="111">
      <c r="A111" s="7" t="inlineStr">
        <is>
          <t>TA-110</t>
        </is>
      </c>
      <c r="B111" s="7" t="inlineStr">
        <is>
          <t>Sprint 1-2</t>
        </is>
      </c>
      <c r="C111" s="7" t="inlineStr">
        <is>
          <t>Pruebas automatizadas — Tipo y estado de persona (EP-01 / EP-12)</t>
        </is>
      </c>
      <c r="D111" s="7" t="inlineStr">
        <is>
          <t>Validar que con la estadía ya cerrada sí se pueda pasar a Ambulatorio</t>
        </is>
      </c>
      <c r="E111" s="7" t="inlineStr">
        <is>
          <t>(NUEVO, H10) Con la estadía ya cerrada, el cambio se permite.</t>
        </is>
      </c>
      <c r="F111" s="7" t="inlineStr">
        <is>
          <t>Persona Residente cuya estadía ya tiene egreso registrado.</t>
        </is>
      </c>
      <c r="G111" s="7" t="inlineStr">
        <is>
          <t>EP-12</t>
        </is>
      </c>
      <c r="H111" s="7" t="inlineStr">
        <is>
          <t>1. Cambiar el tipo de la persona a Ambulatorio  →  La operación es exitosa</t>
        </is>
      </c>
      <c r="I111" s="7" t="inlineStr">
        <is>
          <t>Vicaria.UnitTests › PersonTypeUpdateTests › SetAmbulatory_ConEstadiaYaCerrada_PermiteElCambio</t>
        </is>
      </c>
      <c r="J111" s="7" t="inlineStr">
        <is>
          <t>OK</t>
        </is>
      </c>
      <c r="K111" s="7" t="inlineStr">
        <is>
          <t>2026-10-14</t>
        </is>
      </c>
      <c r="L111" s="7" t="inlineStr">
        <is>
          <t>Suite automatizada</t>
        </is>
      </c>
    </row>
    <row r="112">
      <c r="A112" s="7" t="inlineStr">
        <is>
          <t>TA-111</t>
        </is>
      </c>
      <c r="B112" s="7" t="inlineStr">
        <is>
          <t>Sprint 1-2</t>
        </is>
      </c>
      <c r="C112" s="7" t="inlineStr">
        <is>
          <t>Pruebas automatizadas — Tipo y estado de persona (EP-01 / EP-12)</t>
        </is>
      </c>
      <c r="D112" s="7" t="inlineStr">
        <is>
          <t>Validar que el cambio de tipo se registre en el historial con valor anterior y nuevo (hallazgo H11)</t>
        </is>
      </c>
      <c r="E112" s="7" t="inlineStr">
        <is>
          <t>(NUEVO, H11) Cada cambio real de tipo queda en el historial (previousType/newType/actor/fecha).</t>
        </is>
      </c>
      <c r="F112" s="7" t="inlineStr">
        <is>
          <t>Persona Ambulatoria con ficha y evaluación vigente.</t>
        </is>
      </c>
      <c r="G112" s="7" t="inlineStr">
        <is>
          <t>EP-12</t>
        </is>
      </c>
      <c r="H112" s="7" t="inlineStr">
        <is>
          <t>1. Cambiar el tipo a Residente indicando el actor  →  La operación es exitosa
2. Consultar el historial de tipo de persona  →  Hay una entrada con tipo anterior, tipo nuevo, autor y fecha</t>
        </is>
      </c>
      <c r="I112" s="7" t="inlineStr">
        <is>
          <t>Vicaria.UnitTests › PersonTypeUpdateTests › CambioTipo_RegistraEntradaEnHistorial</t>
        </is>
      </c>
      <c r="J112" s="7" t="inlineStr">
        <is>
          <t>OK</t>
        </is>
      </c>
      <c r="K112" s="7" t="inlineStr">
        <is>
          <t>2026-10-14</t>
        </is>
      </c>
      <c r="L112" s="7" t="inlineStr">
        <is>
          <t>Suite automatizada</t>
        </is>
      </c>
    </row>
    <row r="113">
      <c r="A113" s="7" t="inlineStr">
        <is>
          <t>TA-112</t>
        </is>
      </c>
      <c r="B113" s="7" t="inlineStr">
        <is>
          <t>Sprint 1-2</t>
        </is>
      </c>
      <c r="C113" s="7" t="inlineStr">
        <is>
          <t>Pruebas automatizadas — Tipo y estado de persona (EP-01 / EP-12)</t>
        </is>
      </c>
      <c r="D113" s="7" t="inlineStr">
        <is>
          <t>Validar que repetir el mismo tipo no genere una entrada en el historial</t>
        </is>
      </c>
      <c r="E113" s="7" t="inlineStr">
        <is>
          <t>(NUEVO, H11) Confirmar el mismo tipo no ensucia el historial con una entrada vacía.</t>
        </is>
      </c>
      <c r="F113" s="7" t="inlineStr">
        <is>
          <t>Persona Ambulatoria con ficha.</t>
        </is>
      </c>
      <c r="G113" s="7" t="inlineStr">
        <is>
          <t>EP-12</t>
        </is>
      </c>
      <c r="H113" s="7" t="inlineStr">
        <is>
          <t>1. Cambiar el tipo a Ambulatorio (el mismo que ya tiene)  →  La operación finaliza
2. Consultar el historial  →  No se agrega ninguna entrada</t>
        </is>
      </c>
      <c r="I113" s="7" t="inlineStr">
        <is>
          <t>Vicaria.UnitTests › PersonTypeUpdateTests › CambioAlMismoTipo_NoRegistraEntradaEnHistorial</t>
        </is>
      </c>
      <c r="J113" s="7" t="inlineStr">
        <is>
          <t>OK</t>
        </is>
      </c>
      <c r="K113" s="7" t="inlineStr">
        <is>
          <t>2026-10-14</t>
        </is>
      </c>
      <c r="L113" s="7" t="inlineStr">
        <is>
          <t>Suite automatizada</t>
        </is>
      </c>
    </row>
    <row r="114">
      <c r="A114" s="7" t="inlineStr">
        <is>
          <t>TA-113</t>
        </is>
      </c>
      <c r="B114" s="7" t="inlineStr">
        <is>
          <t>Sprint 1-2</t>
        </is>
      </c>
      <c r="C114" s="7" t="inlineStr">
        <is>
          <t>Pruebas automatizadas — Tipo y estado de persona (EP-01 / EP-12)</t>
        </is>
      </c>
      <c r="D114" s="7" t="inlineStr">
        <is>
          <t>Validar que la API rechace pasar a Residente sin evaluación</t>
        </is>
      </c>
      <c r="E114" s="7" t="inlineStr">
        <is>
          <t>Pasar a Residente sin evaluación se rechaza (400).</t>
        </is>
      </c>
      <c r="F114" s="7" t="inlineStr">
        <is>
          <t>Persona existente sin evaluación. Usuario Referente.</t>
        </is>
      </c>
      <c r="G114" s="7" t="inlineStr">
        <is>
          <t>EP-12</t>
        </is>
      </c>
      <c r="H114" s="7" t="inlineStr">
        <is>
          <t>1. Enviar PUT /api/persons/{id}/type con tipo Residente  →  La API responde 400 Bad Request</t>
        </is>
      </c>
      <c r="I114" s="7" t="inlineStr">
        <is>
          <t>Vicaria.IntegrationTests › PersonsEndpointTests › UpdateType_ResidenteSinEvaluacion_Devuelve400</t>
        </is>
      </c>
      <c r="J114" s="7" t="inlineStr">
        <is>
          <t>OK</t>
        </is>
      </c>
      <c r="K114" s="7" t="inlineStr">
        <is>
          <t>2026-10-14</t>
        </is>
      </c>
      <c r="L114" s="7" t="inlineStr">
        <is>
          <t>Suite automatizada</t>
        </is>
      </c>
    </row>
    <row r="115">
      <c r="A115" s="7" t="inlineStr">
        <is>
          <t>TA-114</t>
        </is>
      </c>
      <c r="B115" s="7" t="inlineStr">
        <is>
          <t>Sprint 1-2</t>
        </is>
      </c>
      <c r="C115" s="7" t="inlineStr">
        <is>
          <t>Pruebas automatizadas — Tipo y estado de persona (EP-01 / EP-12)</t>
        </is>
      </c>
      <c r="D115" s="7" t="inlineStr">
        <is>
          <t>Validar que la API acepte pasar a Residente con evaluación vigente</t>
        </is>
      </c>
      <c r="E115" s="7" t="inlineStr">
        <is>
          <t>Con evaluación vigente, confirma (204).</t>
        </is>
      </c>
      <c r="F115" s="7" t="inlineStr">
        <is>
          <t>Persona existente con evaluación vigente. Usuario Referente.</t>
        </is>
      </c>
      <c r="G115" s="7" t="inlineStr">
        <is>
          <t>EP-12</t>
        </is>
      </c>
      <c r="H115" s="7" t="inlineStr">
        <is>
          <t>1. Enviar PUT /api/persons/{id}/type con tipo Residente  →  La API responde 204 No Content</t>
        </is>
      </c>
      <c r="I115" s="7" t="inlineStr">
        <is>
          <t>Vicaria.IntegrationTests › PersonsEndpointTests › UpdateType_ResidenteConEvaluacionVigente_Devuelve204</t>
        </is>
      </c>
      <c r="J115" s="7" t="inlineStr">
        <is>
          <t>OK</t>
        </is>
      </c>
      <c r="K115" s="7" t="inlineStr">
        <is>
          <t>2026-10-14</t>
        </is>
      </c>
      <c r="L115" s="7" t="inlineStr">
        <is>
          <t>Suite automatizada</t>
        </is>
      </c>
    </row>
    <row r="116">
      <c r="A116" s="7" t="inlineStr">
        <is>
          <t>TA-115</t>
        </is>
      </c>
      <c r="B116" s="7" t="inlineStr">
        <is>
          <t>Sprint 1-2</t>
        </is>
      </c>
      <c r="C116" s="7" t="inlineStr">
        <is>
          <t>Pruebas automatizadas — Tipo y estado de persona (EP-01 / EP-12)</t>
        </is>
      </c>
      <c r="D116" s="7" t="inlineStr">
        <is>
          <t>Validar que la API rechace una evaluación no vigente</t>
        </is>
      </c>
      <c r="E116" s="7" t="inlineStr">
        <is>
          <t>Evaluación no vigente tampoco alcanza (400).</t>
        </is>
      </c>
      <c r="F116" s="7" t="inlineStr">
        <is>
          <t>Persona existente con evaluación no vigente. Usuario Referente.</t>
        </is>
      </c>
      <c r="G116" s="7" t="inlineStr">
        <is>
          <t>EP-12</t>
        </is>
      </c>
      <c r="H116" s="7" t="inlineStr">
        <is>
          <t>1. Enviar PUT /api/persons/{id}/type con tipo Residente  →  La API responde 400 Bad Request</t>
        </is>
      </c>
      <c r="I116" s="7" t="inlineStr">
        <is>
          <t>Vicaria.IntegrationTests › PersonsEndpointTests › UpdateType_ResidenteConEvaluacionNoVigente_Devuelve400</t>
        </is>
      </c>
      <c r="J116" s="7" t="inlineStr">
        <is>
          <t>OK</t>
        </is>
      </c>
      <c r="K116" s="7" t="inlineStr">
        <is>
          <t>2026-10-14</t>
        </is>
      </c>
      <c r="L116" s="7" t="inlineStr">
        <is>
          <t>Suite automatizada</t>
        </is>
      </c>
    </row>
    <row r="117">
      <c r="A117" s="7" t="inlineStr">
        <is>
          <t>TA-116</t>
        </is>
      </c>
      <c r="B117" s="7" t="inlineStr">
        <is>
          <t>Sprint 1-2</t>
        </is>
      </c>
      <c r="C117" s="7" t="inlineStr">
        <is>
          <t>Pruebas automatizadas — Tipo y estado de persona (EP-01 / EP-12)</t>
        </is>
      </c>
      <c r="D117" s="7" t="inlineStr">
        <is>
          <t>Validar que por la API el pase a Residente cree la estadía</t>
        </is>
      </c>
      <c r="E117" s="7" t="inlineStr">
        <is>
          <t>Pasar a Residente crea la estadía asociada.</t>
        </is>
      </c>
      <c r="F117" s="7" t="inlineStr">
        <is>
          <t>Persona existente con evaluación vigente. Usuario Referente.</t>
        </is>
      </c>
      <c r="G117" s="7" t="inlineStr">
        <is>
          <t>EP-12</t>
        </is>
      </c>
      <c r="H117" s="7" t="inlineStr">
        <is>
          <t>1. Enviar PUT /api/persons/{id}/type con tipo Residente  →  La API responde 204
2. Consultar las estadías de la persona  →  Se creó la estadía de Casa de Convivencia</t>
        </is>
      </c>
      <c r="I117" s="7" t="inlineStr">
        <is>
          <t>Vicaria.IntegrationTests › PersonsEndpointTests › UpdateType_ResidenteConEvaluacionVigente_CreaEstadiaCasaConvivencia</t>
        </is>
      </c>
      <c r="J117" s="7" t="inlineStr">
        <is>
          <t>OK</t>
        </is>
      </c>
      <c r="K117" s="7" t="inlineStr">
        <is>
          <t>2026-10-14</t>
        </is>
      </c>
      <c r="L117" s="7" t="inlineStr">
        <is>
          <t>Suite automatizada</t>
        </is>
      </c>
    </row>
    <row r="118">
      <c r="A118" s="7" t="inlineStr">
        <is>
          <t>TA-117</t>
        </is>
      </c>
      <c r="B118" s="7" t="inlineStr">
        <is>
          <t>Sprint 1-2</t>
        </is>
      </c>
      <c r="C118" s="7" t="inlineStr">
        <is>
          <t>Pruebas automatizadas — Tipo y estado de persona (EP-01 / EP-12)</t>
        </is>
      </c>
      <c r="D118" s="7" t="inlineStr">
        <is>
          <t>Validar que la API acepte pasar a Ambulatorio sin evaluación</t>
        </is>
      </c>
      <c r="E118" s="7" t="inlineStr">
        <is>
          <t>Pasar a Ambulatorio no requiere evaluación (204).</t>
        </is>
      </c>
      <c r="F118" s="7" t="inlineStr">
        <is>
          <t>Persona existente sin evaluación. Usuario Referente.</t>
        </is>
      </c>
      <c r="G118" s="7" t="inlineStr">
        <is>
          <t>EP-12</t>
        </is>
      </c>
      <c r="H118" s="7" t="inlineStr">
        <is>
          <t>1. Enviar PUT /api/persons/{id}/type con tipo Ambulatorio  →  La API responde 204 No Content</t>
        </is>
      </c>
      <c r="I118" s="7" t="inlineStr">
        <is>
          <t>Vicaria.IntegrationTests › PersonsEndpointTests › UpdateType_AmbulatorioSinEvaluacion_Devuelve204</t>
        </is>
      </c>
      <c r="J118" s="7" t="inlineStr">
        <is>
          <t>OK</t>
        </is>
      </c>
      <c r="K118" s="7" t="inlineStr">
        <is>
          <t>2026-10-14</t>
        </is>
      </c>
      <c r="L118" s="7" t="inlineStr">
        <is>
          <t>Suite automatizada</t>
        </is>
      </c>
    </row>
    <row r="119">
      <c r="A119" s="7" t="inlineStr">
        <is>
          <t>TA-118</t>
        </is>
      </c>
      <c r="B119" s="7" t="inlineStr">
        <is>
          <t>Sprint 1-2</t>
        </is>
      </c>
      <c r="C119" s="7" t="inlineStr">
        <is>
          <t>Pruebas automatizadas — Tipo y estado de persona (EP-01 / EP-12)</t>
        </is>
      </c>
      <c r="D119" s="7" t="inlineStr">
        <is>
          <t>Validar que cambiar el tipo de una persona inexistente devuelva 404</t>
        </is>
      </c>
      <c r="E119" s="7" t="inlineStr">
        <is>
          <t>Persona inexistente devuelve 404.</t>
        </is>
      </c>
      <c r="F119" s="7" t="inlineStr">
        <is>
          <t>Usuario Referente. No existe la persona.</t>
        </is>
      </c>
      <c r="G119" s="7" t="inlineStr">
        <is>
          <t>EP-12</t>
        </is>
      </c>
      <c r="H119" s="7" t="inlineStr">
        <is>
          <t>1. Enviar PUT /api/persons/{id}/type con un id inexistente  →  La API responde 404 Not Found</t>
        </is>
      </c>
      <c r="I119" s="7" t="inlineStr">
        <is>
          <t>Vicaria.IntegrationTests › PersonsEndpointTests › UpdateType_PersonaInexistente_Devuelve404</t>
        </is>
      </c>
      <c r="J119" s="7" t="inlineStr">
        <is>
          <t>OK</t>
        </is>
      </c>
      <c r="K119" s="7" t="inlineStr">
        <is>
          <t>2026-10-14</t>
        </is>
      </c>
      <c r="L119" s="7" t="inlineStr">
        <is>
          <t>Suite automatizada</t>
        </is>
      </c>
    </row>
    <row r="120">
      <c r="A120" s="7" t="inlineStr">
        <is>
          <t>TA-119</t>
        </is>
      </c>
      <c r="B120" s="7" t="inlineStr">
        <is>
          <t>Sprint 1-2</t>
        </is>
      </c>
      <c r="C120" s="7" t="inlineStr">
        <is>
          <t>Pruebas automatizadas — Tipo y estado de persona (EP-01 / EP-12)</t>
        </is>
      </c>
      <c r="D120" s="7" t="inlineStr">
        <is>
          <t>Validar que un tipo de persona inexistente sea rechazado</t>
        </is>
      </c>
      <c r="E120" s="7" t="inlineStr">
        <is>
          <t>Un tipo inválido se rechaza (400).</t>
        </is>
      </c>
      <c r="F120" s="7" t="inlineStr">
        <is>
          <t>Persona existente. Usuario Referente.</t>
        </is>
      </c>
      <c r="G120" s="7" t="inlineStr">
        <is>
          <t>EP-12</t>
        </is>
      </c>
      <c r="H120" s="7" t="inlineStr">
        <is>
          <t>1. Enviar PUT /api/persons/{id}/type con un valor fuera de los permitidos  →  La API responde 400 Bad Request</t>
        </is>
      </c>
      <c r="I120" s="7" t="inlineStr">
        <is>
          <t>Vicaria.IntegrationTests › PersonsEndpointTests › UpdateType_TipoInvalido_Devuelve400</t>
        </is>
      </c>
      <c r="J120" s="7" t="inlineStr">
        <is>
          <t>OK</t>
        </is>
      </c>
      <c r="K120" s="7" t="inlineStr">
        <is>
          <t>2026-10-14</t>
        </is>
      </c>
      <c r="L120" s="7" t="inlineStr">
        <is>
          <t>Suite automatizada</t>
        </is>
      </c>
    </row>
    <row r="121">
      <c r="A121" s="7" t="inlineStr">
        <is>
          <t>TA-120</t>
        </is>
      </c>
      <c r="B121" s="7" t="inlineStr">
        <is>
          <t>Sprint 1-2</t>
        </is>
      </c>
      <c r="C121" s="7" t="inlineStr">
        <is>
          <t>Pruebas automatizadas — Tipo y estado de persona (EP-01 / EP-12)</t>
        </is>
      </c>
      <c r="D121" s="7" t="inlineStr">
        <is>
          <t>Validar que cambiar el tipo sin token no esté autorizado</t>
        </is>
      </c>
      <c r="E121" s="7" t="inlineStr">
        <is>
          <t>Sin token no autoriza (401).</t>
        </is>
      </c>
      <c r="F121" s="7" t="inlineStr">
        <is>
          <t>El cliente no envía token.</t>
        </is>
      </c>
      <c r="G121" s="7" t="inlineStr">
        <is>
          <t>EP-12</t>
        </is>
      </c>
      <c r="H121" s="7" t="inlineStr">
        <is>
          <t>1. Enviar PUT /api/persons/{id}/type sin autenticación  →  La API responde 401 Unauthorized</t>
        </is>
      </c>
      <c r="I121" s="7" t="inlineStr">
        <is>
          <t>Vicaria.IntegrationTests › PersonsEndpointTests › UpdateType_SinToken_Devuelve401</t>
        </is>
      </c>
      <c r="J121" s="7" t="inlineStr">
        <is>
          <t>OK</t>
        </is>
      </c>
      <c r="K121" s="7" t="inlineStr">
        <is>
          <t>2026-10-14</t>
        </is>
      </c>
      <c r="L121" s="7" t="inlineStr">
        <is>
          <t>Suite automatizada</t>
        </is>
      </c>
    </row>
    <row r="122">
      <c r="A122" s="7" t="inlineStr">
        <is>
          <t>TA-121</t>
        </is>
      </c>
      <c r="B122" s="7" t="inlineStr">
        <is>
          <t>Sprint 1-2</t>
        </is>
      </c>
      <c r="C122" s="7" t="inlineStr">
        <is>
          <t>Pruebas automatizadas — Tipo y estado de persona (EP-01 / EP-12)</t>
        </is>
      </c>
      <c r="D122" s="7" t="inlineStr">
        <is>
          <t>Validar que el rol Escucha no pueda cambiar el tipo de persona</t>
        </is>
      </c>
      <c r="E122" s="7" t="inlineStr">
        <is>
          <t>Escucha no puede cambiar el tipo (403).</t>
        </is>
      </c>
      <c r="F122" s="7" t="inlineStr">
        <is>
          <t>Persona existente. Usuario con rol Escucha.</t>
        </is>
      </c>
      <c r="G122" s="7" t="inlineStr">
        <is>
          <t>SCRUM-13, SCRUM-64</t>
        </is>
      </c>
      <c r="H122" s="7" t="inlineStr">
        <is>
          <t>1. Enviar PUT /api/persons/{id}/type con el token del rol Escucha  →  La API responde 403 Forbidden</t>
        </is>
      </c>
      <c r="I122" s="7" t="inlineStr">
        <is>
          <t>Vicaria.IntegrationTests › PersonsEndpointTests › UpdateType_ComoEscucha_Devuelve403</t>
        </is>
      </c>
      <c r="J122" s="7" t="inlineStr">
        <is>
          <t>OK</t>
        </is>
      </c>
      <c r="K122" s="7" t="inlineStr">
        <is>
          <t>2026-10-14</t>
        </is>
      </c>
      <c r="L122" s="7" t="inlineStr">
        <is>
          <t>Suite automatizada</t>
        </is>
      </c>
    </row>
    <row r="123">
      <c r="A123" s="7" t="inlineStr">
        <is>
          <t>TA-122</t>
        </is>
      </c>
      <c r="B123" s="7" t="inlineStr">
        <is>
          <t>Sprint 1-2</t>
        </is>
      </c>
      <c r="C123" s="7" t="inlineStr">
        <is>
          <t>Pruebas automatizadas — Tipo y estado de persona (EP-01 / EP-12)</t>
        </is>
      </c>
      <c r="D123" s="7" t="inlineStr">
        <is>
          <t>Validar que se pueda marcar a un Ambulatorio como Activo</t>
        </is>
      </c>
      <c r="E123" s="7" t="inlineStr">
        <is>
          <t>Pasar a Ambulatorio activo confirma (204).</t>
        </is>
      </c>
      <c r="F123" s="7" t="inlineStr">
        <is>
          <t>Persona existente. Usuario Referente.</t>
        </is>
      </c>
      <c r="G123" s="7" t="inlineStr">
        <is>
          <t>EP-12</t>
        </is>
      </c>
      <c r="H123" s="7" t="inlineStr">
        <is>
          <t>1. Enviar PUT /api/persons/{id}/status con estado Activo  →  La API responde 204 No Content</t>
        </is>
      </c>
      <c r="I123" s="7" t="inlineStr">
        <is>
          <t>Vicaria.IntegrationTests › PersonsEndpointTests › UpdateEstado_AmbulatorioActivo_Devuelve204</t>
        </is>
      </c>
      <c r="J123" s="7" t="inlineStr">
        <is>
          <t>OK</t>
        </is>
      </c>
      <c r="K123" s="7" t="inlineStr">
        <is>
          <t>2026-10-14</t>
        </is>
      </c>
      <c r="L123" s="7" t="inlineStr">
        <is>
          <t>Suite automatizada</t>
        </is>
      </c>
    </row>
    <row r="124">
      <c r="A124" s="7" t="inlineStr">
        <is>
          <t>TA-123</t>
        </is>
      </c>
      <c r="B124" s="7" t="inlineStr">
        <is>
          <t>Sprint 1-2</t>
        </is>
      </c>
      <c r="C124" s="7" t="inlineStr">
        <is>
          <t>Pruebas automatizadas — Tipo y estado de persona (EP-01 / EP-12)</t>
        </is>
      </c>
      <c r="D124" s="7" t="inlineStr">
        <is>
          <t>Validar que se pueda marcar a un Ambulatorio como Inactivo</t>
        </is>
      </c>
      <c r="E124" s="7" t="inlineStr">
        <is>
          <t>Pasar a Ambulatorio inactivo confirma (204).</t>
        </is>
      </c>
      <c r="F124" s="7" t="inlineStr">
        <is>
          <t>Persona existente. Usuario Referente.</t>
        </is>
      </c>
      <c r="G124" s="7" t="inlineStr">
        <is>
          <t>EP-12</t>
        </is>
      </c>
      <c r="H124" s="7" t="inlineStr">
        <is>
          <t>1. Enviar PUT /api/persons/{id}/status con estado Inactivo  →  La API responde 204 No Content</t>
        </is>
      </c>
      <c r="I124" s="7" t="inlineStr">
        <is>
          <t>Vicaria.IntegrationTests › PersonsEndpointTests › UpdateEstado_AmbulatorioInactivo_Devuelve204</t>
        </is>
      </c>
      <c r="J124" s="7" t="inlineStr">
        <is>
          <t>OK</t>
        </is>
      </c>
      <c r="K124" s="7" t="inlineStr">
        <is>
          <t>2026-10-14</t>
        </is>
      </c>
      <c r="L124" s="7" t="inlineStr">
        <is>
          <t>Suite automatizada</t>
        </is>
      </c>
    </row>
    <row r="125">
      <c r="A125" s="7" t="inlineStr">
        <is>
          <t>TA-124</t>
        </is>
      </c>
      <c r="B125" s="7" t="inlineStr">
        <is>
          <t>Sprint 1-2</t>
        </is>
      </c>
      <c r="C125" s="7" t="inlineStr">
        <is>
          <t>Pruebas automatizadas — Tipo y estado de persona (EP-01 / EP-12)</t>
        </is>
      </c>
      <c r="D125" s="7" t="inlineStr">
        <is>
          <t>Validar que no se pueda marcar como Residente por estado sin evaluación</t>
        </is>
      </c>
      <c r="E125" s="7" t="inlineStr">
        <is>
          <t>Pasar a Residente sin evaluación se rechaza (400).</t>
        </is>
      </c>
      <c r="F125" s="7" t="inlineStr">
        <is>
          <t>Persona existente sin evaluación. Usuario Referente.</t>
        </is>
      </c>
      <c r="G125" s="7" t="inlineStr">
        <is>
          <t>EP-12</t>
        </is>
      </c>
      <c r="H125" s="7" t="inlineStr">
        <is>
          <t>1. Enviar PUT /api/persons/{id}/status con estado Residente  →  La API responde 400 Bad Request</t>
        </is>
      </c>
      <c r="I125" s="7" t="inlineStr">
        <is>
          <t>Vicaria.IntegrationTests › PersonsEndpointTests › UpdateEstado_ResidenteSinEvaluacion_Devuelve400</t>
        </is>
      </c>
      <c r="J125" s="7" t="inlineStr">
        <is>
          <t>OK</t>
        </is>
      </c>
      <c r="K125" s="7" t="inlineStr">
        <is>
          <t>2026-10-14</t>
        </is>
      </c>
      <c r="L125" s="7" t="inlineStr">
        <is>
          <t>Suite automatizada</t>
        </is>
      </c>
    </row>
    <row r="126">
      <c r="A126" s="7" t="inlineStr">
        <is>
          <t>TA-125</t>
        </is>
      </c>
      <c r="B126" s="7" t="inlineStr">
        <is>
          <t>Sprint 1-2</t>
        </is>
      </c>
      <c r="C126" s="7" t="inlineStr">
        <is>
          <t>Pruebas automatizadas — Tipo y estado de persona (EP-01 / EP-12)</t>
        </is>
      </c>
      <c r="D126" s="7" t="inlineStr">
        <is>
          <t>Validar que se pueda marcar como Residente con evaluación vigente</t>
        </is>
      </c>
      <c r="E126" s="7" t="inlineStr">
        <is>
          <t>Con evaluación vigente, confirma (204).</t>
        </is>
      </c>
      <c r="F126" s="7" t="inlineStr">
        <is>
          <t>Persona existente con evaluación vigente. Usuario Referente.</t>
        </is>
      </c>
      <c r="G126" s="7" t="inlineStr">
        <is>
          <t>EP-12</t>
        </is>
      </c>
      <c r="H126" s="7" t="inlineStr">
        <is>
          <t>1. Enviar PUT /api/persons/{id}/status con estado Residente  →  La API responde 204 No Content</t>
        </is>
      </c>
      <c r="I126" s="7" t="inlineStr">
        <is>
          <t>Vicaria.IntegrationTests › PersonsEndpointTests › UpdateEstado_ResidenteConEvaluacionVigente_Devuelve204</t>
        </is>
      </c>
      <c r="J126" s="7" t="inlineStr">
        <is>
          <t>OK</t>
        </is>
      </c>
      <c r="K126" s="7" t="inlineStr">
        <is>
          <t>2026-10-14</t>
        </is>
      </c>
      <c r="L126" s="7" t="inlineStr">
        <is>
          <t>Suite automatizada</t>
        </is>
      </c>
    </row>
    <row r="127">
      <c r="A127" s="7" t="inlineStr">
        <is>
          <t>TA-126</t>
        </is>
      </c>
      <c r="B127" s="7" t="inlineStr">
        <is>
          <t>Sprint 1-2</t>
        </is>
      </c>
      <c r="C127" s="7" t="inlineStr">
        <is>
          <t>Pruebas automatizadas — Tipo y estado de persona (EP-01 / EP-12)</t>
        </is>
      </c>
      <c r="D127" s="7" t="inlineStr">
        <is>
          <t>Validar que cambiar el estado de una persona inexistente devuelva 404</t>
        </is>
      </c>
      <c r="E127" s="7" t="inlineStr">
        <is>
          <t>Persona inexistente devuelve 404.</t>
        </is>
      </c>
      <c r="F127" s="7" t="inlineStr">
        <is>
          <t>Usuario Referente. No existe la persona.</t>
        </is>
      </c>
      <c r="G127" s="7" t="inlineStr">
        <is>
          <t>EP-12</t>
        </is>
      </c>
      <c r="H127" s="7" t="inlineStr">
        <is>
          <t>1. Enviar PUT /api/persons/{id}/status con un id inexistente  →  La API responde 404 Not Found</t>
        </is>
      </c>
      <c r="I127" s="7" t="inlineStr">
        <is>
          <t>Vicaria.IntegrationTests › PersonsEndpointTests › UpdateEstado_PersonaInexistente_Devuelve404</t>
        </is>
      </c>
      <c r="J127" s="7" t="inlineStr">
        <is>
          <t>OK</t>
        </is>
      </c>
      <c r="K127" s="7" t="inlineStr">
        <is>
          <t>2026-10-14</t>
        </is>
      </c>
      <c r="L127" s="7" t="inlineStr">
        <is>
          <t>Suite automatizada</t>
        </is>
      </c>
    </row>
    <row r="128">
      <c r="A128" s="7" t="inlineStr">
        <is>
          <t>TA-127</t>
        </is>
      </c>
      <c r="B128" s="7" t="inlineStr">
        <is>
          <t>Sprint 1-2</t>
        </is>
      </c>
      <c r="C128" s="7" t="inlineStr">
        <is>
          <t>Pruebas automatizadas — Tipo y estado de persona (EP-01 / EP-12)</t>
        </is>
      </c>
      <c r="D128" s="7" t="inlineStr">
        <is>
          <t>Validar que cambiar el estado sin token no esté autorizado</t>
        </is>
      </c>
      <c r="E128" s="7" t="inlineStr">
        <is>
          <t>Cambiar estado sin token no autoriza (401).</t>
        </is>
      </c>
      <c r="F128" s="7" t="inlineStr">
        <is>
          <t>El cliente no envía token.</t>
        </is>
      </c>
      <c r="G128" s="7" t="inlineStr">
        <is>
          <t>EP-12</t>
        </is>
      </c>
      <c r="H128" s="7" t="inlineStr">
        <is>
          <t>1. Enviar PUT /api/persons/{id}/status sin autenticación  →  La API responde 401 Unauthorized</t>
        </is>
      </c>
      <c r="I128" s="7" t="inlineStr">
        <is>
          <t>Vicaria.IntegrationTests › PersonsEndpointTests › UpdateEstado_SinToken_Devuelve401</t>
        </is>
      </c>
      <c r="J128" s="7" t="inlineStr">
        <is>
          <t>OK</t>
        </is>
      </c>
      <c r="K128" s="7" t="inlineStr">
        <is>
          <t>2026-10-14</t>
        </is>
      </c>
      <c r="L128" s="7" t="inlineStr">
        <is>
          <t>Suite automatizada</t>
        </is>
      </c>
    </row>
    <row r="129">
      <c r="A129" s="7" t="inlineStr">
        <is>
          <t>TA-128</t>
        </is>
      </c>
      <c r="B129" s="7" t="inlineStr">
        <is>
          <t>Sprint 1-2</t>
        </is>
      </c>
      <c r="C129" s="7" t="inlineStr">
        <is>
          <t>Pruebas automatizadas — Tipo y estado de persona (EP-01 / EP-12)</t>
        </is>
      </c>
      <c r="D129" s="7" t="inlineStr">
        <is>
          <t>Validar que el rol Escucha no pueda cambiar el estado de una persona</t>
        </is>
      </c>
      <c r="E129" s="7" t="inlineStr">
        <is>
          <t>Escucha no puede cambiar el estado (403).</t>
        </is>
      </c>
      <c r="F129" s="7" t="inlineStr">
        <is>
          <t>Persona existente. Usuario con rol Escucha.</t>
        </is>
      </c>
      <c r="G129" s="7" t="inlineStr">
        <is>
          <t>SCRUM-13, SCRUM-64</t>
        </is>
      </c>
      <c r="H129" s="7" t="inlineStr">
        <is>
          <t>1. Enviar PUT /api/persons/{id}/status con el token del rol Escucha  →  La API responde 403 Forbidden</t>
        </is>
      </c>
      <c r="I129" s="7" t="inlineStr">
        <is>
          <t>Vicaria.IntegrationTests › PersonsEndpointTests › UpdateEstado_ComoEscucha_Devuelve403</t>
        </is>
      </c>
      <c r="J129" s="7" t="inlineStr">
        <is>
          <t>OK</t>
        </is>
      </c>
      <c r="K129" s="7" t="inlineStr">
        <is>
          <t>2026-10-14</t>
        </is>
      </c>
      <c r="L129" s="7" t="inlineStr">
        <is>
          <t>Suite automatizada</t>
        </is>
      </c>
    </row>
    <row r="130">
      <c r="A130" s="7" t="inlineStr">
        <is>
          <t>TA-129</t>
        </is>
      </c>
      <c r="B130" s="7" t="inlineStr">
        <is>
          <t>Sprint 1-2</t>
        </is>
      </c>
      <c r="C130" s="7" t="inlineStr">
        <is>
          <t>Pruebas automatizadas — Tipo y estado de persona (EP-01 / EP-12)</t>
        </is>
      </c>
      <c r="D130" s="7" t="inlineStr">
        <is>
          <t>Validar que una persona sin asistencia por más de 30 días pase a Inactiva con auditoría</t>
        </is>
      </c>
      <c r="E130" s="7" t="inlineStr">
        <is>
          <t>Una persona sin asistencia por más de 30 días pase a Inactiva con auditoría</t>
        </is>
      </c>
      <c r="F130" s="7" t="inlineStr">
        <is>
          <t>Persona Activa cuya última asistencia fue hace más de 30 días.</t>
        </is>
      </c>
      <c r="G130" s="7" t="inlineStr">
        <is>
          <t>EP-10</t>
        </is>
      </c>
      <c r="H130" s="7" t="inlineStr">
        <is>
          <t>1. Ejecutar el proceso automático de inactividad  →  La persona pasa a estado Inactiva
2. Revisar la tabla de auditoría  →  Hay un AuditLog del cambio de estado automático</t>
        </is>
      </c>
      <c r="I130" s="7" t="inlineStr">
        <is>
          <t>Vicaria.IntegrationTests › PersonInactivityTests › CheckAndProcessInactivity_PersonaInactivaMasDe30Dias_PasaAInactivoConAuditLog</t>
        </is>
      </c>
      <c r="J130" s="7" t="inlineStr">
        <is>
          <t>OK</t>
        </is>
      </c>
      <c r="K130" s="7" t="inlineStr">
        <is>
          <t>2026-10-14</t>
        </is>
      </c>
      <c r="L130" s="7" t="inlineStr">
        <is>
          <t>Suite automatizada</t>
        </is>
      </c>
    </row>
    <row r="131">
      <c r="A131" s="7" t="inlineStr">
        <is>
          <t>TA-130</t>
        </is>
      </c>
      <c r="B131" s="7" t="inlineStr">
        <is>
          <t>Sprint 1-2</t>
        </is>
      </c>
      <c r="C131" s="7" t="inlineStr">
        <is>
          <t>Pruebas automatizadas — Categorías de observación (EP-02)</t>
        </is>
      </c>
      <c r="D131" s="7" t="inlineStr">
        <is>
          <t>Validar que se cree una categoría con nombre y descripción</t>
        </is>
      </c>
      <c r="E131" s="7" t="inlineStr">
        <is>
          <t>Crear con datos válidos guarda nombre y descripción.</t>
        </is>
      </c>
      <c r="F131" s="7" t="inlineStr">
        <is>
          <t>Base con las categorías predefinidas.</t>
        </is>
      </c>
      <c r="G131" s="7" t="inlineStr">
        <is>
          <t>EP-02</t>
        </is>
      </c>
      <c r="H131" s="7" t="inlineStr">
        <is>
          <t>1. Crear una categoría con nombre y descripción  →  La operación es exitosa
2. Consultar la categoría  →  Se guardaron el nombre y la descripción</t>
        </is>
      </c>
      <c r="I131" s="7" t="inlineStr">
        <is>
          <t>Vicaria.UnitTests › ObservationCategoryServiceTests › CreateAsync_ConDatosValidos_GuardaCategoriaYDescripcion</t>
        </is>
      </c>
      <c r="J131" s="7" t="inlineStr">
        <is>
          <t>OK</t>
        </is>
      </c>
      <c r="K131" s="7" t="inlineStr">
        <is>
          <t>2026-10-14</t>
        </is>
      </c>
      <c r="L131" s="7" t="inlineStr">
        <is>
          <t>Suite automatizada</t>
        </is>
      </c>
    </row>
    <row r="132">
      <c r="A132" s="7" t="inlineStr">
        <is>
          <t>TA-131</t>
        </is>
      </c>
      <c r="B132" s="7" t="inlineStr">
        <is>
          <t>Sprint 1-2</t>
        </is>
      </c>
      <c r="C132" s="7" t="inlineStr">
        <is>
          <t>Pruebas automatizadas — Categorías de observación (EP-02)</t>
        </is>
      </c>
      <c r="D132" s="7" t="inlineStr">
        <is>
          <t>Validar que la descripción se guarde sin espacios sobrantes</t>
        </is>
      </c>
      <c r="E132" s="7" t="inlineStr">
        <is>
          <t>La descripción se guarda sin espacios sobrantes.</t>
        </is>
      </c>
      <c r="F132" s="7" t="inlineStr">
        <is>
          <t>Base con las categorías predefinidas.</t>
        </is>
      </c>
      <c r="G132" s="7" t="inlineStr">
        <is>
          <t>EP-02</t>
        </is>
      </c>
      <c r="H132" s="7" t="inlineStr">
        <is>
          <t>1. Crear una categoría con la descripción rodeada de espacios  →  La descripción se guarda como "Asuntos legales"</t>
        </is>
      </c>
      <c r="I132" s="7" t="inlineStr">
        <is>
          <t>Vicaria.UnitTests › ObservationCategoryServiceTests › CreateAsync_ConDescripcionEspaciada_GuardaDescripcionTrimmeada</t>
        </is>
      </c>
      <c r="J132" s="7" t="inlineStr">
        <is>
          <t>OK</t>
        </is>
      </c>
      <c r="K132" s="7" t="inlineStr">
        <is>
          <t>2026-10-14</t>
        </is>
      </c>
      <c r="L132" s="7" t="inlineStr">
        <is>
          <t>Suite automatizada</t>
        </is>
      </c>
    </row>
    <row r="133">
      <c r="A133" s="7" t="inlineStr">
        <is>
          <t>TA-132</t>
        </is>
      </c>
      <c r="B133" s="7" t="inlineStr">
        <is>
          <t>Sprint 1-2</t>
        </is>
      </c>
      <c r="C133" s="7" t="inlineStr">
        <is>
          <t>Pruebas automatizadas — Categorías de observación (EP-02)</t>
        </is>
      </c>
      <c r="D133" s="7" t="inlineStr">
        <is>
          <t>Validar que una descripción en blanco se guarde como nula</t>
        </is>
      </c>
      <c r="E133" s="7" t="inlineStr">
        <is>
          <t>Descripción vacía se guarda como null.</t>
        </is>
      </c>
      <c r="F133" s="7" t="inlineStr">
        <is>
          <t>Base con las categorías predefinidas.</t>
        </is>
      </c>
      <c r="G133" s="7" t="inlineStr">
        <is>
          <t>EP-02</t>
        </is>
      </c>
      <c r="H133" s="7" t="inlineStr">
        <is>
          <t>1. Crear una categoría con la descripción en blanco  →  La operación es exitosa y la descripción queda en null</t>
        </is>
      </c>
      <c r="I133" s="7" t="inlineStr">
        <is>
          <t>Vicaria.UnitTests › ObservationCategoryServiceTests › CreateAsync_ConDescripcionVacia_GuardaNull</t>
        </is>
      </c>
      <c r="J133" s="7" t="inlineStr">
        <is>
          <t>OK</t>
        </is>
      </c>
      <c r="K133" s="7" t="inlineStr">
        <is>
          <t>2026-10-14</t>
        </is>
      </c>
      <c r="L133" s="7" t="inlineStr">
        <is>
          <t>Suite automatizada</t>
        </is>
      </c>
    </row>
    <row r="134">
      <c r="A134" s="7" t="inlineStr">
        <is>
          <t>TA-133</t>
        </is>
      </c>
      <c r="B134" s="7" t="inlineStr">
        <is>
          <t>Sprint 1-2</t>
        </is>
      </c>
      <c r="C134" s="7" t="inlineStr">
        <is>
          <t>Pruebas automatizadas — Categorías de observación (EP-02)</t>
        </is>
      </c>
      <c r="D134" s="7" t="inlineStr">
        <is>
          <t>Validar que el nombre repetido (sin distinguir mayúsculas) devuelva DuplicateName</t>
        </is>
      </c>
      <c r="E134" s="7" t="inlineStr">
        <is>
          <t>Un nombre duplicado (aunque cambie mayúsculas) se rechaza.</t>
        </is>
      </c>
      <c r="F134" s="7" t="inlineStr">
        <is>
          <t>Existe la categoría "Salud".</t>
        </is>
      </c>
      <c r="G134" s="7" t="inlineStr">
        <is>
          <t>EP-02</t>
        </is>
      </c>
      <c r="H134" s="7" t="inlineStr">
        <is>
          <t>1. Crear una categoría con el nombre en minúsculas  →  La operación no es exitosa y devuelve DuplicateName</t>
        </is>
      </c>
      <c r="I134" s="7" t="inlineStr">
        <is>
          <t>Vicaria.UnitTests › ObservationCategoryServiceTests › CreateAsync_ConNombreExistenteEnOtraCaja_DevuelveDuplicateName</t>
        </is>
      </c>
      <c r="J134" s="7" t="inlineStr">
        <is>
          <t>OK</t>
        </is>
      </c>
      <c r="K134" s="7" t="inlineStr">
        <is>
          <t>2026-10-14</t>
        </is>
      </c>
      <c r="L134" s="7" t="inlineStr">
        <is>
          <t>Suite automatizada</t>
        </is>
      </c>
    </row>
    <row r="135">
      <c r="A135" s="7" t="inlineStr">
        <is>
          <t>TA-134</t>
        </is>
      </c>
      <c r="B135" s="7" t="inlineStr">
        <is>
          <t>Sprint 1-2</t>
        </is>
      </c>
      <c r="C135" s="7" t="inlineStr">
        <is>
          <t>Pruebas automatizadas — Categorías de observación (EP-02)</t>
        </is>
      </c>
      <c r="D135" s="7" t="inlineStr">
        <is>
          <t>Validar que crear una categoría deje auditoría con el actor</t>
        </is>
      </c>
      <c r="E135" s="7" t="inlineStr">
        <is>
          <t>Crear una categoría deje auditoría con el actor</t>
        </is>
      </c>
      <c r="F135" s="7" t="inlineStr">
        <is>
          <t>Base con las categorías predefinidas.</t>
        </is>
      </c>
      <c r="G135" s="7" t="inlineStr">
        <is>
          <t>EP-02</t>
        </is>
      </c>
      <c r="H135" s="7" t="inlineStr">
        <is>
          <t>1. Crear una categoría con un nombre nuevo indicando el actor  →  La operación es exitosa
2. Revisar la auditoría  →  Hay un AuditLog con el actor</t>
        </is>
      </c>
      <c r="I135" s="7" t="inlineStr">
        <is>
          <t>Vicaria.UnitTests › ObservationCategoryServiceTests › CreateAsync_RegistraAuditLogConElActor</t>
        </is>
      </c>
      <c r="J135" s="7" t="inlineStr">
        <is>
          <t>OK</t>
        </is>
      </c>
      <c r="K135" s="7" t="inlineStr">
        <is>
          <t>2026-10-14</t>
        </is>
      </c>
      <c r="L135" s="7" t="inlineStr">
        <is>
          <t>Suite automatizada</t>
        </is>
      </c>
    </row>
    <row r="136">
      <c r="A136" s="7" t="inlineStr">
        <is>
          <t>TA-135</t>
        </is>
      </c>
      <c r="B136" s="7" t="inlineStr">
        <is>
          <t>Sprint 1-2</t>
        </is>
      </c>
      <c r="C136" s="7" t="inlineStr">
        <is>
          <t>Pruebas automatizadas — Categorías de observación (EP-02)</t>
        </is>
      </c>
      <c r="D136" s="7" t="inlineStr">
        <is>
          <t>Validar que se actualicen nombre y descripción de una categoría</t>
        </is>
      </c>
      <c r="E136" s="7" t="inlineStr">
        <is>
          <t>Actualizar guarda los nuevos valores.</t>
        </is>
      </c>
      <c r="F136" s="7" t="inlineStr">
        <is>
          <t>Existe la categoría "Salud" con una descripción previa.</t>
        </is>
      </c>
      <c r="G136" s="7" t="inlineStr">
        <is>
          <t>EP-02</t>
        </is>
      </c>
      <c r="H136" s="7" t="inlineStr">
        <is>
          <t>1. Actualizar la categoría con nombre y descripción nuevos  →  La operación es exitosa
2. Consultar la categoría  →  Nombre y descripción quedan actualizados</t>
        </is>
      </c>
      <c r="I136" s="7" t="inlineStr">
        <is>
          <t>Vicaria.UnitTests › ObservationCategoryServiceTests › UpdateAsync_ConDatosValidos_ActualizaNombreYDescripcion</t>
        </is>
      </c>
      <c r="J136" s="7" t="inlineStr">
        <is>
          <t>OK</t>
        </is>
      </c>
      <c r="K136" s="7" t="inlineStr">
        <is>
          <t>2026-10-14</t>
        </is>
      </c>
      <c r="L136" s="7" t="inlineStr">
        <is>
          <t>Suite automatizada</t>
        </is>
      </c>
    </row>
    <row r="137">
      <c r="A137" s="7" t="inlineStr">
        <is>
          <t>TA-136</t>
        </is>
      </c>
      <c r="B137" s="7" t="inlineStr">
        <is>
          <t>Sprint 1-2</t>
        </is>
      </c>
      <c r="C137" s="7" t="inlineStr">
        <is>
          <t>Pruebas automatizadas — Categorías de observación (EP-02)</t>
        </is>
      </c>
      <c r="D137" s="7" t="inlineStr">
        <is>
          <t>Validar que editar con descripción en blanco la deje nula</t>
        </is>
      </c>
      <c r="E137" s="7" t="inlineStr">
        <is>
          <t>Actualizar con descripción vacía la guarda como null.</t>
        </is>
      </c>
      <c r="F137" s="7" t="inlineStr">
        <is>
          <t>Existe una categoría con descripción.</t>
        </is>
      </c>
      <c r="G137" s="7" t="inlineStr">
        <is>
          <t>EP-02</t>
        </is>
      </c>
      <c r="H137" s="7" t="inlineStr">
        <is>
          <t>1. Actualizar la categoría con la descripción en blanco  →  La descripción queda en null</t>
        </is>
      </c>
      <c r="I137" s="7" t="inlineStr">
        <is>
          <t>Vicaria.UnitTests › ObservationCategoryServiceTests › UpdateAsync_ConDescripcionVacia_GuardaNull</t>
        </is>
      </c>
      <c r="J137" s="7" t="inlineStr">
        <is>
          <t>OK</t>
        </is>
      </c>
      <c r="K137" s="7" t="inlineStr">
        <is>
          <t>2026-10-14</t>
        </is>
      </c>
      <c r="L137" s="7" t="inlineStr">
        <is>
          <t>Suite automatizada</t>
        </is>
      </c>
    </row>
    <row r="138">
      <c r="A138" s="7" t="inlineStr">
        <is>
          <t>TA-137</t>
        </is>
      </c>
      <c r="B138" s="7" t="inlineStr">
        <is>
          <t>Sprint 1-2</t>
        </is>
      </c>
      <c r="C138" s="7" t="inlineStr">
        <is>
          <t>Pruebas automatizadas — Categorías de observación (EP-02)</t>
        </is>
      </c>
      <c r="D138" s="7" t="inlineStr">
        <is>
          <t>Validar que editar una categoría inexistente devuelva NotFound</t>
        </is>
      </c>
      <c r="E138" s="7" t="inlineStr">
        <is>
          <t>Actualizar un id inexistente devuelve not found.</t>
        </is>
      </c>
      <c r="F138" s="7" t="inlineStr">
        <is>
          <t>No existe la categoría indicada.</t>
        </is>
      </c>
      <c r="G138" s="7" t="inlineStr">
        <is>
          <t>EP-02</t>
        </is>
      </c>
      <c r="H138" s="7" t="inlineStr">
        <is>
          <t>1. Actualizar un id inexistente  →  La operación no es exitosa y devuelve NotFound</t>
        </is>
      </c>
      <c r="I138" s="7" t="inlineStr">
        <is>
          <t>Vicaria.UnitTests › ObservationCategoryServiceTests › UpdateAsync_ConIdInexistente_DevuelveNotFound</t>
        </is>
      </c>
      <c r="J138" s="7" t="inlineStr">
        <is>
          <t>OK</t>
        </is>
      </c>
      <c r="K138" s="7" t="inlineStr">
        <is>
          <t>2026-10-14</t>
        </is>
      </c>
      <c r="L138" s="7" t="inlineStr">
        <is>
          <t>Suite automatizada</t>
        </is>
      </c>
    </row>
    <row r="139">
      <c r="A139" s="7" t="inlineStr">
        <is>
          <t>TA-138</t>
        </is>
      </c>
      <c r="B139" s="7" t="inlineStr">
        <is>
          <t>Sprint 1-2</t>
        </is>
      </c>
      <c r="C139" s="7" t="inlineStr">
        <is>
          <t>Pruebas automatizadas — Categorías de observación (EP-02)</t>
        </is>
      </c>
      <c r="D139" s="7" t="inlineStr">
        <is>
          <t>Validar que no se pueda renombrar con el nombre de otra categoría</t>
        </is>
      </c>
      <c r="E139" s="7" t="inlineStr">
        <is>
          <t>No se puede duplicar el nombre de otra categoría.</t>
        </is>
      </c>
      <c r="F139" s="7" t="inlineStr">
        <is>
          <t>Existen las categorías "Salud" y "Legal".</t>
        </is>
      </c>
      <c r="G139" s="7" t="inlineStr">
        <is>
          <t>EP-02</t>
        </is>
      </c>
      <c r="H139" s="7" t="inlineStr">
        <is>
          <t>1. Renombrar "Salud" como "legal"  →  La operación no es exitosa y devuelve DuplicateName</t>
        </is>
      </c>
      <c r="I139" s="7" t="inlineStr">
        <is>
          <t>Vicaria.UnitTests › ObservationCategoryServiceTests › UpdateAsync_ConNombreDuplicadoDeOtraCategoria_DevuelveDuplicateName</t>
        </is>
      </c>
      <c r="J139" s="7" t="inlineStr">
        <is>
          <t>OK</t>
        </is>
      </c>
      <c r="K139" s="7" t="inlineStr">
        <is>
          <t>2026-10-14</t>
        </is>
      </c>
      <c r="L139" s="7" t="inlineStr">
        <is>
          <t>Suite automatizada</t>
        </is>
      </c>
    </row>
    <row r="140">
      <c r="A140" s="7" t="inlineStr">
        <is>
          <t>TA-139</t>
        </is>
      </c>
      <c r="B140" s="7" t="inlineStr">
        <is>
          <t>Sprint 1-2</t>
        </is>
      </c>
      <c r="C140" s="7" t="inlineStr">
        <is>
          <t>Pruebas automatizadas — Categorías de observación (EP-02)</t>
        </is>
      </c>
      <c r="D140" s="7" t="inlineStr">
        <is>
          <t>Validar que editar una categoría deje auditoría con el actor</t>
        </is>
      </c>
      <c r="E140" s="7" t="inlineStr">
        <is>
          <t>Editar una categoría deje auditoría con el actor</t>
        </is>
      </c>
      <c r="F140" s="7" t="inlineStr">
        <is>
          <t>Existe la categoría "Salud".</t>
        </is>
      </c>
      <c r="G140" s="7" t="inlineStr">
        <is>
          <t>EP-02</t>
        </is>
      </c>
      <c r="H140" s="7" t="inlineStr">
        <is>
          <t>1. Actualizar la categoría indicando el actor  →  La operación es exitosa
2. Revisar la auditoría  →  Hay un AuditLog con el actor</t>
        </is>
      </c>
      <c r="I140" s="7" t="inlineStr">
        <is>
          <t>Vicaria.UnitTests › ObservationCategoryServiceTests › UpdateAsync_RegistraAuditLogConElActor</t>
        </is>
      </c>
      <c r="J140" s="7" t="inlineStr">
        <is>
          <t>OK</t>
        </is>
      </c>
      <c r="K140" s="7" t="inlineStr">
        <is>
          <t>2026-10-14</t>
        </is>
      </c>
      <c r="L140" s="7" t="inlineStr">
        <is>
          <t>Suite automatizada</t>
        </is>
      </c>
    </row>
    <row r="141">
      <c r="A141" s="7" t="inlineStr">
        <is>
          <t>TA-140</t>
        </is>
      </c>
      <c r="B141" s="7" t="inlineStr">
        <is>
          <t>Sprint 1-2</t>
        </is>
      </c>
      <c r="C141" s="7" t="inlineStr">
        <is>
          <t>Pruebas automatizadas — Categorías de observación (EP-02)</t>
        </is>
      </c>
      <c r="D141" s="7" t="inlineStr">
        <is>
          <t>Validar que desactivar una categoría no la borre</t>
        </is>
      </c>
      <c r="E141" s="7" t="inlineStr">
        <is>
          <t>Desactivar no borra la categoría físicamente.</t>
        </is>
      </c>
      <c r="F141" s="7" t="inlineStr">
        <is>
          <t>Existe una categoría activa.</t>
        </is>
      </c>
      <c r="G141" s="7" t="inlineStr">
        <is>
          <t>EP-02</t>
        </is>
      </c>
      <c r="H141" s="7" t="inlineStr">
        <is>
          <t>1. Desactivar la categoría  →  La operación es exitosa
2. Consultar la categoría en la base  →  Sigue existiendo, con IsActive en false</t>
        </is>
      </c>
      <c r="I141" s="7" t="inlineStr">
        <is>
          <t>Vicaria.UnitTests › ObservationCategoryServiceTests › ToggleStatusAsync_DesactivaCategoria_SinBorradoFisico</t>
        </is>
      </c>
      <c r="J141" s="7" t="inlineStr">
        <is>
          <t>OK</t>
        </is>
      </c>
      <c r="K141" s="7" t="inlineStr">
        <is>
          <t>2026-10-14</t>
        </is>
      </c>
      <c r="L141" s="7" t="inlineStr">
        <is>
          <t>Suite automatizada</t>
        </is>
      </c>
    </row>
    <row r="142">
      <c r="A142" s="7" t="inlineStr">
        <is>
          <t>TA-141</t>
        </is>
      </c>
      <c r="B142" s="7" t="inlineStr">
        <is>
          <t>Sprint 1-2</t>
        </is>
      </c>
      <c r="C142" s="7" t="inlineStr">
        <is>
          <t>Pruebas automatizadas — Categorías de observación (EP-02)</t>
        </is>
      </c>
      <c r="D142" s="7" t="inlineStr">
        <is>
          <t>Validar que una categoría desactivada pueda reactivarse</t>
        </is>
      </c>
      <c r="E142" s="7" t="inlineStr">
        <is>
          <t>Reactivar una categoría desactivada la vuelve a mostrar como activa.</t>
        </is>
      </c>
      <c r="F142" s="7" t="inlineStr">
        <is>
          <t>Existe una categoría desactivada.</t>
        </is>
      </c>
      <c r="G142" s="7" t="inlineStr">
        <is>
          <t>EP-02</t>
        </is>
      </c>
      <c r="H142" s="7" t="inlineStr">
        <is>
          <t>1. Reactivar la categoría  →  La operación es exitosa y la categoría vuelve a estar activa</t>
        </is>
      </c>
      <c r="I142" s="7" t="inlineStr">
        <is>
          <t>Vicaria.UnitTests › ObservationCategoryServiceTests › ToggleStatusAsync_DesactivadaLuegoReactivada_DevuelveActiva</t>
        </is>
      </c>
      <c r="J142" s="7" t="inlineStr">
        <is>
          <t>OK</t>
        </is>
      </c>
      <c r="K142" s="7" t="inlineStr">
        <is>
          <t>2026-10-14</t>
        </is>
      </c>
      <c r="L142" s="7" t="inlineStr">
        <is>
          <t>Suite automatizada</t>
        </is>
      </c>
    </row>
    <row r="143">
      <c r="A143" s="7" t="inlineStr">
        <is>
          <t>TA-142</t>
        </is>
      </c>
      <c r="B143" s="7" t="inlineStr">
        <is>
          <t>Sprint 1-2</t>
        </is>
      </c>
      <c r="C143" s="7" t="inlineStr">
        <is>
          <t>Pruebas automatizadas — Categorías de observación (EP-02)</t>
        </is>
      </c>
      <c r="D143" s="7" t="inlineStr">
        <is>
          <t>Validar que cambiar el estado de una categoría inexistente devuelva NotFound</t>
        </is>
      </c>
      <c r="E143" s="7" t="inlineStr">
        <is>
          <t>Cambiar estado de un id inexistente devuelve not found.</t>
        </is>
      </c>
      <c r="F143" s="7" t="inlineStr">
        <is>
          <t>No existe la categoría indicada.</t>
        </is>
      </c>
      <c r="G143" s="7" t="inlineStr">
        <is>
          <t>EP-02</t>
        </is>
      </c>
      <c r="H143" s="7" t="inlineStr">
        <is>
          <t>1. Desactivar un id inexistente  →  La operación no es exitosa y devuelve NotFound</t>
        </is>
      </c>
      <c r="I143" s="7" t="inlineStr">
        <is>
          <t>Vicaria.UnitTests › ObservationCategoryServiceTests › ToggleStatusAsync_ConIdInexistente_DevuelveNotFound</t>
        </is>
      </c>
      <c r="J143" s="7" t="inlineStr">
        <is>
          <t>OK</t>
        </is>
      </c>
      <c r="K143" s="7" t="inlineStr">
        <is>
          <t>2026-10-14</t>
        </is>
      </c>
      <c r="L143" s="7" t="inlineStr">
        <is>
          <t>Suite automatizada</t>
        </is>
      </c>
    </row>
    <row r="144">
      <c r="A144" s="7" t="inlineStr">
        <is>
          <t>TA-143</t>
        </is>
      </c>
      <c r="B144" s="7" t="inlineStr">
        <is>
          <t>Sprint 1-2</t>
        </is>
      </c>
      <c r="C144" s="7" t="inlineStr">
        <is>
          <t>Pruebas automatizadas — Categorías de observación (EP-02)</t>
        </is>
      </c>
      <c r="D144" s="7" t="inlineStr">
        <is>
          <t>Validar que desactivar una categoría deje auditoría de la acción</t>
        </is>
      </c>
      <c r="E144" s="7" t="inlineStr">
        <is>
          <t>Cambiar estado deja un AuditLog con la acción.</t>
        </is>
      </c>
      <c r="F144" s="7" t="inlineStr">
        <is>
          <t>Existe una categoría activa.</t>
        </is>
      </c>
      <c r="G144" s="7" t="inlineStr">
        <is>
          <t>EP-02</t>
        </is>
      </c>
      <c r="H144" s="7" t="inlineStr">
        <is>
          <t>1. Desactivar la categoría indicando el actor  →  La operación es exitosa
2. Revisar la auditoría  →  Hay un AuditLog que indica la desactivación</t>
        </is>
      </c>
      <c r="I144" s="7" t="inlineStr">
        <is>
          <t>Vicaria.UnitTests › ObservationCategoryServiceTests › ToggleStatusAsync_RegistraAuditLogConLaAccionDeDesactivacion</t>
        </is>
      </c>
      <c r="J144" s="7" t="inlineStr">
        <is>
          <t>OK</t>
        </is>
      </c>
      <c r="K144" s="7" t="inlineStr">
        <is>
          <t>2026-10-14</t>
        </is>
      </c>
      <c r="L144" s="7" t="inlineStr">
        <is>
          <t>Suite automatizada</t>
        </is>
      </c>
    </row>
    <row r="145">
      <c r="A145" s="7" t="inlineStr">
        <is>
          <t>TA-144</t>
        </is>
      </c>
      <c r="B145" s="7" t="inlineStr">
        <is>
          <t>Sprint 1-2</t>
        </is>
      </c>
      <c r="C145" s="7" t="inlineStr">
        <is>
          <t>Pruebas automatizadas — Categorías de observación (EP-02)</t>
        </is>
      </c>
      <c r="D145" s="7" t="inlineStr">
        <is>
          <t>Validar que el listado con onlyActive traiga solo categorías activas</t>
        </is>
      </c>
      <c r="E145" s="7" t="inlineStr">
        <is>
          <t>onlyActive=true filtra solo las activas --- es el contrato real que el frontend debe usar (H09).</t>
        </is>
      </c>
      <c r="F145" s="7" t="inlineStr">
        <is>
          <t>Existen una categoría activa y otra inactiva.</t>
        </is>
      </c>
      <c r="G145" s="7" t="inlineStr">
        <is>
          <t>EP-02</t>
        </is>
      </c>
      <c r="H145" s="7" t="inlineStr">
        <is>
          <t>1. Consultar las categorías con onlyActive = true  →  Se incluyen las activas y no se incluyen las inactivas</t>
        </is>
      </c>
      <c r="I145" s="7" t="inlineStr">
        <is>
          <t>Vicaria.UnitTests › ObservationCategoryServiceTests › GetCategoriesAsync_OnlyActive_FiltraSoloActivas</t>
        </is>
      </c>
      <c r="J145" s="7" t="inlineStr">
        <is>
          <t>OK</t>
        </is>
      </c>
      <c r="K145" s="7" t="inlineStr">
        <is>
          <t>2026-10-14</t>
        </is>
      </c>
      <c r="L145" s="7" t="inlineStr">
        <is>
          <t>Suite automatizada</t>
        </is>
      </c>
    </row>
    <row r="146">
      <c r="A146" s="7" t="inlineStr">
        <is>
          <t>TA-145</t>
        </is>
      </c>
      <c r="B146" s="7" t="inlineStr">
        <is>
          <t>Sprint 1-2</t>
        </is>
      </c>
      <c r="C146" s="7" t="inlineStr">
        <is>
          <t>Pruebas automatizadas — Categorías de observación (EP-02)</t>
        </is>
      </c>
      <c r="D146" s="7" t="inlineStr">
        <is>
          <t>Validar que sin el filtro se incluyan también las inactivas</t>
        </is>
      </c>
      <c r="E146" s="7" t="inlineStr">
        <is>
          <t>onlyActive=false incluye también las inactivas.</t>
        </is>
      </c>
      <c r="F146" s="7" t="inlineStr">
        <is>
          <t>Existen las categorías predefinidas más una activa y otra inactiva.</t>
        </is>
      </c>
      <c r="G146" s="7" t="inlineStr">
        <is>
          <t>EP-02</t>
        </is>
      </c>
      <c r="H146" s="7" t="inlineStr">
        <is>
          <t>1. Consultar las categorías con onlyActive = false  →  Se devuelven todas, activas e inactivas</t>
        </is>
      </c>
      <c r="I146" s="7" t="inlineStr">
        <is>
          <t>Vicaria.UnitTests › ObservationCategoryServiceTests › GetCategoriesAsync_OnlyActiveFalse_IncluyeInactivas</t>
        </is>
      </c>
      <c r="J146" s="7" t="inlineStr">
        <is>
          <t>OK</t>
        </is>
      </c>
      <c r="K146" s="7" t="inlineStr">
        <is>
          <t>2026-10-14</t>
        </is>
      </c>
      <c r="L146" s="7" t="inlineStr">
        <is>
          <t>Suite automatizada</t>
        </is>
      </c>
    </row>
    <row r="147">
      <c r="A147" s="7" t="inlineStr">
        <is>
          <t>TA-146</t>
        </is>
      </c>
      <c r="B147" s="7" t="inlineStr">
        <is>
          <t>Sprint 1-2</t>
        </is>
      </c>
      <c r="C147" s="7" t="inlineStr">
        <is>
          <t>Pruebas automatizadas — Categorías de observación (EP-02)</t>
        </is>
      </c>
      <c r="D147" s="7" t="inlineStr">
        <is>
          <t>Validar que un Referente pueda crear una categoría por la API</t>
        </is>
      </c>
      <c r="E147" s="7" t="inlineStr">
        <is>
          <t>Crear con datos válidos devuelve 201 y guarda la descripción.</t>
        </is>
      </c>
      <c r="F147" s="7" t="inlineStr">
        <is>
          <t>Usuario autenticado con rol Referente.</t>
        </is>
      </c>
      <c r="G147" s="7" t="inlineStr">
        <is>
          <t>EP-02</t>
        </is>
      </c>
      <c r="H147" s="7" t="inlineStr">
        <is>
          <t>1. Enviar POST /api/observation-categories con nombre y descripción  →  La API responde 201 Created
2. Revisar la categoría creada  →  La descripción quedó guardada</t>
        </is>
      </c>
      <c r="I147" s="7" t="inlineStr">
        <is>
          <t>Vicaria.IntegrationTests › ObservationCategoriesEndpointTests › Create_WithValidData_Returns201AndStoresDescription</t>
        </is>
      </c>
      <c r="J147" s="7" t="inlineStr">
        <is>
          <t>OK</t>
        </is>
      </c>
      <c r="K147" s="7" t="inlineStr">
        <is>
          <t>2026-10-14</t>
        </is>
      </c>
      <c r="L147" s="7" t="inlineStr">
        <is>
          <t>Suite automatizada</t>
        </is>
      </c>
    </row>
    <row r="148">
      <c r="A148" s="7" t="inlineStr">
        <is>
          <t>TA-147</t>
        </is>
      </c>
      <c r="B148" s="7" t="inlineStr">
        <is>
          <t>Sprint 1-2</t>
        </is>
      </c>
      <c r="C148" s="7" t="inlineStr">
        <is>
          <t>Pruebas automatizadas — Categorías de observación (EP-02)</t>
        </is>
      </c>
      <c r="D148" s="7" t="inlineStr">
        <is>
          <t>Validar que no se pueda crear una categoría sin nombre</t>
        </is>
      </c>
      <c r="E148" s="7" t="inlineStr">
        <is>
          <t>Sin nombre se rechaza (400).</t>
        </is>
      </c>
      <c r="F148" s="7" t="inlineStr">
        <is>
          <t>Usuario Referente.</t>
        </is>
      </c>
      <c r="G148" s="7" t="inlineStr">
        <is>
          <t>EP-02</t>
        </is>
      </c>
      <c r="H148" s="7" t="inlineStr">
        <is>
          <t>1. Enviar POST /api/observation-categories sin nombre  →  La API responde 400 Bad Request</t>
        </is>
      </c>
      <c r="I148" s="7" t="inlineStr">
        <is>
          <t>Vicaria.IntegrationTests › ObservationCategoriesEndpointTests › Create_WithoutName_Returns400</t>
        </is>
      </c>
      <c r="J148" s="7" t="inlineStr">
        <is>
          <t>OK</t>
        </is>
      </c>
      <c r="K148" s="7" t="inlineStr">
        <is>
          <t>2026-10-14</t>
        </is>
      </c>
      <c r="L148" s="7" t="inlineStr">
        <is>
          <t>Suite automatizada</t>
        </is>
      </c>
    </row>
    <row r="149">
      <c r="A149" s="7" t="inlineStr">
        <is>
          <t>TA-148</t>
        </is>
      </c>
      <c r="B149" s="7" t="inlineStr">
        <is>
          <t>Sprint 1-2</t>
        </is>
      </c>
      <c r="C149" s="7" t="inlineStr">
        <is>
          <t>Pruebas automatizadas — Categorías de observación (EP-02)</t>
        </is>
      </c>
      <c r="D149" s="7" t="inlineStr">
        <is>
          <t>Validar que una descripción de más de 500 caracteres sea rechazada</t>
        </is>
      </c>
      <c r="E149" s="7" t="inlineStr">
        <is>
          <t>Descripción de más de 500 caracteres se rechaza (400).</t>
        </is>
      </c>
      <c r="F149" s="7" t="inlineStr">
        <is>
          <t>Usuario Referente.</t>
        </is>
      </c>
      <c r="G149" s="7" t="inlineStr">
        <is>
          <t>EP-02</t>
        </is>
      </c>
      <c r="H149" s="7" t="inlineStr">
        <is>
          <t>1. Enviar POST /api/observation-categories con una descripción de 501 caracteres  →  La API responde 400 Bad Request</t>
        </is>
      </c>
      <c r="I149" s="7" t="inlineStr">
        <is>
          <t>Vicaria.IntegrationTests › ObservationCategoriesEndpointTests › Create_WithDescriptionOver500Chars_Returns400</t>
        </is>
      </c>
      <c r="J149" s="7" t="inlineStr">
        <is>
          <t>OK</t>
        </is>
      </c>
      <c r="K149" s="7" t="inlineStr">
        <is>
          <t>2026-10-14</t>
        </is>
      </c>
      <c r="L149" s="7" t="inlineStr">
        <is>
          <t>Suite automatizada</t>
        </is>
      </c>
    </row>
    <row r="150">
      <c r="A150" s="7" t="inlineStr">
        <is>
          <t>TA-149</t>
        </is>
      </c>
      <c r="B150" s="7" t="inlineStr">
        <is>
          <t>Sprint 1-2</t>
        </is>
      </c>
      <c r="C150" s="7" t="inlineStr">
        <is>
          <t>Pruebas automatizadas — Categorías de observación (EP-02)</t>
        </is>
      </c>
      <c r="D150" s="7" t="inlineStr">
        <is>
          <t>Validar que un nombre repetido devuelva conflicto</t>
        </is>
      </c>
      <c r="E150" s="7" t="inlineStr">
        <is>
          <t>Nombre duplicado devuelve conflicto (409).</t>
        </is>
      </c>
      <c r="F150" s="7" t="inlineStr">
        <is>
          <t>Usuario Referente. Existe la categoría "Salud".</t>
        </is>
      </c>
      <c r="G150" s="7" t="inlineStr">
        <is>
          <t>EP-02</t>
        </is>
      </c>
      <c r="H150" s="7" t="inlineStr">
        <is>
          <t>1. Enviar POST /api/observation-categories con el nombre en minúsculas  →  La API responde 409 Conflict</t>
        </is>
      </c>
      <c r="I150" s="7" t="inlineStr">
        <is>
          <t>Vicaria.IntegrationTests › ObservationCategoriesEndpointTests › Create_WithDuplicateName_Returns409</t>
        </is>
      </c>
      <c r="J150" s="7" t="inlineStr">
        <is>
          <t>OK</t>
        </is>
      </c>
      <c r="K150" s="7" t="inlineStr">
        <is>
          <t>2026-10-14</t>
        </is>
      </c>
      <c r="L150" s="7" t="inlineStr">
        <is>
          <t>Suite automatizada</t>
        </is>
      </c>
    </row>
    <row r="151">
      <c r="A151" s="7" t="inlineStr">
        <is>
          <t>TA-150</t>
        </is>
      </c>
      <c r="B151" s="7" t="inlineStr">
        <is>
          <t>Sprint 1-2</t>
        </is>
      </c>
      <c r="C151" s="7" t="inlineStr">
        <is>
          <t>Pruebas automatizadas — Categorías de observación (EP-02)</t>
        </is>
      </c>
      <c r="D151" s="7" t="inlineStr">
        <is>
          <t>Validar que el rol Escucha no pueda crear categorías</t>
        </is>
      </c>
      <c r="E151" s="7" t="inlineStr">
        <is>
          <t>Escucha no puede crear categorías (403).</t>
        </is>
      </c>
      <c r="F151" s="7" t="inlineStr">
        <is>
          <t>Usuario con rol Escucha.</t>
        </is>
      </c>
      <c r="G151" s="7" t="inlineStr">
        <is>
          <t>SCRUM-13, SCRUM-64</t>
        </is>
      </c>
      <c r="H151" s="7" t="inlineStr">
        <is>
          <t>1. Enviar POST /api/observation-categories con el token del rol Escucha  →  La API responde 403 Forbidden</t>
        </is>
      </c>
      <c r="I151" s="7" t="inlineStr">
        <is>
          <t>Vicaria.IntegrationTests › ObservationCategoriesEndpointTests › Create_AsEscucha_Returns403</t>
        </is>
      </c>
      <c r="J151" s="7" t="inlineStr">
        <is>
          <t>OK</t>
        </is>
      </c>
      <c r="K151" s="7" t="inlineStr">
        <is>
          <t>2026-10-14</t>
        </is>
      </c>
      <c r="L151" s="7" t="inlineStr">
        <is>
          <t>Suite automatizada</t>
        </is>
      </c>
    </row>
    <row r="152">
      <c r="A152" s="7" t="inlineStr">
        <is>
          <t>TA-151</t>
        </is>
      </c>
      <c r="B152" s="7" t="inlineStr">
        <is>
          <t>Sprint 1-2</t>
        </is>
      </c>
      <c r="C152" s="7" t="inlineStr">
        <is>
          <t>Pruebas automatizadas — Categorías de observación (EP-02)</t>
        </is>
      </c>
      <c r="D152" s="7" t="inlineStr">
        <is>
          <t>Validar que crear una categoría sin token no esté autorizado</t>
        </is>
      </c>
      <c r="E152" s="7" t="inlineStr">
        <is>
          <t>Crear sin token no autoriza (401).</t>
        </is>
      </c>
      <c r="F152" s="7" t="inlineStr">
        <is>
          <t>El cliente no envía token.</t>
        </is>
      </c>
      <c r="G152" s="7" t="inlineStr">
        <is>
          <t>EP-02</t>
        </is>
      </c>
      <c r="H152" s="7" t="inlineStr">
        <is>
          <t>1. Enviar POST /api/observation-categories sin autenticación  →  La API responde 401 Unauthorized</t>
        </is>
      </c>
      <c r="I152" s="7" t="inlineStr">
        <is>
          <t>Vicaria.IntegrationTests › ObservationCategoriesEndpointTests › Create_WithoutToken_Returns401</t>
        </is>
      </c>
      <c r="J152" s="7" t="inlineStr">
        <is>
          <t>OK</t>
        </is>
      </c>
      <c r="K152" s="7" t="inlineStr">
        <is>
          <t>2026-10-14</t>
        </is>
      </c>
      <c r="L152" s="7" t="inlineStr">
        <is>
          <t>Suite automatizada</t>
        </is>
      </c>
    </row>
    <row r="153">
      <c r="A153" s="7" t="inlineStr">
        <is>
          <t>TA-152</t>
        </is>
      </c>
      <c r="B153" s="7" t="inlineStr">
        <is>
          <t>Sprint 1-2</t>
        </is>
      </c>
      <c r="C153" s="7" t="inlineStr">
        <is>
          <t>Pruebas automatizadas — Categorías de observación (EP-02)</t>
        </is>
      </c>
      <c r="D153" s="7" t="inlineStr">
        <is>
          <t>Validar que crear una categoría por la API deje auditoría con el actor</t>
        </is>
      </c>
      <c r="E153" s="7" t="inlineStr">
        <is>
          <t>Crear deja un AuditLog con el actor.</t>
        </is>
      </c>
      <c r="F153" s="7" t="inlineStr">
        <is>
          <t>Usuario Referente.</t>
        </is>
      </c>
      <c r="G153" s="7" t="inlineStr">
        <is>
          <t>EP-02</t>
        </is>
      </c>
      <c r="H153" s="7" t="inlineStr">
        <is>
          <t>1. Enviar POST /api/observation-categories con un nombre único  →  La API responde 201
2. Revisar la auditoría  →  Hay un AuditLog con el actor</t>
        </is>
      </c>
      <c r="I153" s="7" t="inlineStr">
        <is>
          <t>Vicaria.IntegrationTests › ObservationCategoriesEndpointTests › Create_RegistersAuditLogWithActor</t>
        </is>
      </c>
      <c r="J153" s="7" t="inlineStr">
        <is>
          <t>OK</t>
        </is>
      </c>
      <c r="K153" s="7" t="inlineStr">
        <is>
          <t>2026-10-14</t>
        </is>
      </c>
      <c r="L153" s="7" t="inlineStr">
        <is>
          <t>Suite automatizada</t>
        </is>
      </c>
    </row>
    <row r="154">
      <c r="A154" s="7" t="inlineStr">
        <is>
          <t>TA-153</t>
        </is>
      </c>
      <c r="B154" s="7" t="inlineStr">
        <is>
          <t>Sprint 1-2</t>
        </is>
      </c>
      <c r="C154" s="7" t="inlineStr">
        <is>
          <t>Pruebas automatizadas — Categorías de observación (EP-02)</t>
        </is>
      </c>
      <c r="D154" s="7" t="inlineStr">
        <is>
          <t>Validar que un Referente pueda editar una categoría por la API</t>
        </is>
      </c>
      <c r="E154" s="7" t="inlineStr">
        <is>
          <t>Actualizar con datos válidos cambia la descripción (200).</t>
        </is>
      </c>
      <c r="F154" s="7" t="inlineStr">
        <is>
          <t>Usuario Referente. Existe la categoría "Salud".</t>
        </is>
      </c>
      <c r="G154" s="7" t="inlineStr">
        <is>
          <t>EP-02</t>
        </is>
      </c>
      <c r="H154" s="7" t="inlineStr">
        <is>
          <t>1. Enviar PUT /api/observation-categories/{id} con nombre y descripción nuevos  →  La API responde 200 OK y la descripción cambia</t>
        </is>
      </c>
      <c r="I154" s="7" t="inlineStr">
        <is>
          <t>Vicaria.IntegrationTests › ObservationCategoriesEndpointTests › Update_WithValidData_Returns200AndChangesDescription</t>
        </is>
      </c>
      <c r="J154" s="7" t="inlineStr">
        <is>
          <t>OK</t>
        </is>
      </c>
      <c r="K154" s="7" t="inlineStr">
        <is>
          <t>2026-10-14</t>
        </is>
      </c>
      <c r="L154" s="7" t="inlineStr">
        <is>
          <t>Suite automatizada</t>
        </is>
      </c>
    </row>
    <row r="155">
      <c r="A155" s="7" t="inlineStr">
        <is>
          <t>TA-154</t>
        </is>
      </c>
      <c r="B155" s="7" t="inlineStr">
        <is>
          <t>Sprint 1-2</t>
        </is>
      </c>
      <c r="C155" s="7" t="inlineStr">
        <is>
          <t>Pruebas automatizadas — Categorías de observación (EP-02)</t>
        </is>
      </c>
      <c r="D155" s="7" t="inlineStr">
        <is>
          <t>Validar que editar una categoría inexistente devuelva 404</t>
        </is>
      </c>
      <c r="E155" s="7" t="inlineStr">
        <is>
          <t>Actualizar un id inexistente devuelve 404.</t>
        </is>
      </c>
      <c r="F155" s="7" t="inlineStr">
        <is>
          <t>Usuario Referente.</t>
        </is>
      </c>
      <c r="G155" s="7" t="inlineStr">
        <is>
          <t>EP-02</t>
        </is>
      </c>
      <c r="H155" s="7" t="inlineStr">
        <is>
          <t>1. Enviar PUT /api/observation-categories/{id} con un id inexistente  →  La API responde 404 Not Found</t>
        </is>
      </c>
      <c r="I155" s="7" t="inlineStr">
        <is>
          <t>Vicaria.IntegrationTests › ObservationCategoriesEndpointTests › Update_WithUnknownId_Returns404</t>
        </is>
      </c>
      <c r="J155" s="7" t="inlineStr">
        <is>
          <t>OK</t>
        </is>
      </c>
      <c r="K155" s="7" t="inlineStr">
        <is>
          <t>2026-10-14</t>
        </is>
      </c>
      <c r="L155" s="7" t="inlineStr">
        <is>
          <t>Suite automatizada</t>
        </is>
      </c>
    </row>
    <row r="156">
      <c r="A156" s="7" t="inlineStr">
        <is>
          <t>TA-155</t>
        </is>
      </c>
      <c r="B156" s="7" t="inlineStr">
        <is>
          <t>Sprint 1-2</t>
        </is>
      </c>
      <c r="C156" s="7" t="inlineStr">
        <is>
          <t>Pruebas automatizadas — Categorías de observación (EP-02)</t>
        </is>
      </c>
      <c r="D156" s="7" t="inlineStr">
        <is>
          <t>Validar que no se pueda renombrar con el nombre de otra categoría</t>
        </is>
      </c>
      <c r="E156" s="7" t="inlineStr">
        <is>
          <t>No se puede duplicar el nombre de otra categoría (409).</t>
        </is>
      </c>
      <c r="F156" s="7" t="inlineStr">
        <is>
          <t>Usuario Referente. Existen "Salud" y "Legal".</t>
        </is>
      </c>
      <c r="G156" s="7" t="inlineStr">
        <is>
          <t>EP-02</t>
        </is>
      </c>
      <c r="H156" s="7" t="inlineStr">
        <is>
          <t>1. Enviar PUT para renombrar "Salud" como "legal"  →  La API responde 409 Conflict</t>
        </is>
      </c>
      <c r="I156" s="7" t="inlineStr">
        <is>
          <t>Vicaria.IntegrationTests › ObservationCategoriesEndpointTests › Update_WithDuplicateNameOfAnotherCategory_Returns409</t>
        </is>
      </c>
      <c r="J156" s="7" t="inlineStr">
        <is>
          <t>OK</t>
        </is>
      </c>
      <c r="K156" s="7" t="inlineStr">
        <is>
          <t>2026-10-14</t>
        </is>
      </c>
      <c r="L156" s="7" t="inlineStr">
        <is>
          <t>Suite automatizada</t>
        </is>
      </c>
    </row>
    <row r="157">
      <c r="A157" s="7" t="inlineStr">
        <is>
          <t>TA-156</t>
        </is>
      </c>
      <c r="B157" s="7" t="inlineStr">
        <is>
          <t>Sprint 1-2</t>
        </is>
      </c>
      <c r="C157" s="7" t="inlineStr">
        <is>
          <t>Pruebas automatizadas — Categorías de observación (EP-02)</t>
        </is>
      </c>
      <c r="D157" s="7" t="inlineStr">
        <is>
          <t>Validar que editar una categoría por la API deje auditoría</t>
        </is>
      </c>
      <c r="E157" s="7" t="inlineStr">
        <is>
          <t>Actualizar deja un AuditLog con el actor.</t>
        </is>
      </c>
      <c r="F157" s="7" t="inlineStr">
        <is>
          <t>Usuario Referente. Existe la categoría "Salud".</t>
        </is>
      </c>
      <c r="G157" s="7" t="inlineStr">
        <is>
          <t>EP-02</t>
        </is>
      </c>
      <c r="H157" s="7" t="inlineStr">
        <is>
          <t>1. Enviar PUT con un nombre nuevo  →  La API responde con éxito
2. Revisar la auditoría  →  Hay un AuditLog con el actor</t>
        </is>
      </c>
      <c r="I157" s="7" t="inlineStr">
        <is>
          <t>Vicaria.IntegrationTests › ObservationCategoriesEndpointTests › Update_RegistersAuditLogWithActor</t>
        </is>
      </c>
      <c r="J157" s="7" t="inlineStr">
        <is>
          <t>OK</t>
        </is>
      </c>
      <c r="K157" s="7" t="inlineStr">
        <is>
          <t>2026-10-14</t>
        </is>
      </c>
      <c r="L157" s="7" t="inlineStr">
        <is>
          <t>Suite automatizada</t>
        </is>
      </c>
    </row>
    <row r="158">
      <c r="A158" s="7" t="inlineStr">
        <is>
          <t>TA-157</t>
        </is>
      </c>
      <c r="B158" s="7" t="inlineStr">
        <is>
          <t>Sprint 1-2</t>
        </is>
      </c>
      <c r="C158" s="7" t="inlineStr">
        <is>
          <t>Pruebas automatizadas — Categorías de observación (EP-02)</t>
        </is>
      </c>
      <c r="D158" s="7" t="inlineStr">
        <is>
          <t>Validar que desactivar por la API no borre la categoría</t>
        </is>
      </c>
      <c r="E158" s="7" t="inlineStr">
        <is>
          <t>Desactivar responde 204 sin borrado físico.</t>
        </is>
      </c>
      <c r="F158" s="7" t="inlineStr">
        <is>
          <t>Usuario Referente. Existe la categoría "Salud".</t>
        </is>
      </c>
      <c r="G158" s="7" t="inlineStr">
        <is>
          <t>EP-02</t>
        </is>
      </c>
      <c r="H158" s="7" t="inlineStr">
        <is>
          <t>1. Enviar PATCH /api/observation-categories/{id}/status con isActive=false  →  La API responde 204 No Content
2. Consultar la categoría  →  Sigue existiendo, inactiva</t>
        </is>
      </c>
      <c r="I158" s="7" t="inlineStr">
        <is>
          <t>Vicaria.IntegrationTests › ObservationCategoriesEndpointTests › ToggleStatus_DeactivatesCategory_Returns204WithoutPhysicalDelete</t>
        </is>
      </c>
      <c r="J158" s="7" t="inlineStr">
        <is>
          <t>OK</t>
        </is>
      </c>
      <c r="K158" s="7" t="inlineStr">
        <is>
          <t>2026-10-14</t>
        </is>
      </c>
      <c r="L158" s="7" t="inlineStr">
        <is>
          <t>Suite automatizada</t>
        </is>
      </c>
    </row>
    <row r="159">
      <c r="A159" s="7" t="inlineStr">
        <is>
          <t>TA-158</t>
        </is>
      </c>
      <c r="B159" s="7" t="inlineStr">
        <is>
          <t>Sprint 1-2</t>
        </is>
      </c>
      <c r="C159" s="7" t="inlineStr">
        <is>
          <t>Pruebas automatizadas — Categorías de observación (EP-02)</t>
        </is>
      </c>
      <c r="D159" s="7" t="inlineStr">
        <is>
          <t>Validar que cambiar el estado de una categoría inexistente devuelva 404</t>
        </is>
      </c>
      <c r="E159" s="7" t="inlineStr">
        <is>
          <t>Id inexistente devuelve 404.</t>
        </is>
      </c>
      <c r="F159" s="7" t="inlineStr">
        <is>
          <t>Usuario Referente.</t>
        </is>
      </c>
      <c r="G159" s="7" t="inlineStr">
        <is>
          <t>EP-02</t>
        </is>
      </c>
      <c r="H159" s="7" t="inlineStr">
        <is>
          <t>1. Enviar PATCH …/status con un id inexistente  →  La API responde 404 Not Found</t>
        </is>
      </c>
      <c r="I159" s="7" t="inlineStr">
        <is>
          <t>Vicaria.IntegrationTests › ObservationCategoriesEndpointTests › ToggleStatus_WithUnknownId_Returns404</t>
        </is>
      </c>
      <c r="J159" s="7" t="inlineStr">
        <is>
          <t>OK</t>
        </is>
      </c>
      <c r="K159" s="7" t="inlineStr">
        <is>
          <t>2026-10-14</t>
        </is>
      </c>
      <c r="L159" s="7" t="inlineStr">
        <is>
          <t>Suite automatizada</t>
        </is>
      </c>
    </row>
    <row r="160">
      <c r="A160" s="7" t="inlineStr">
        <is>
          <t>TA-159</t>
        </is>
      </c>
      <c r="B160" s="7" t="inlineStr">
        <is>
          <t>Sprint 1-2</t>
        </is>
      </c>
      <c r="C160" s="7" t="inlineStr">
        <is>
          <t>Pruebas automatizadas — Categorías de observación (EP-02)</t>
        </is>
      </c>
      <c r="D160" s="7" t="inlineStr">
        <is>
          <t>Validar que la Directora de Casa de Convivencia no pueda cambiar el estado de categorías</t>
        </is>
      </c>
      <c r="E160" s="7" t="inlineStr">
        <is>
          <t>DirectoraDeCasaConvivencia no puede cambiar el estado de una categoría (403).</t>
        </is>
      </c>
      <c r="F160" s="7" t="inlineStr">
        <is>
          <t>Existe una categoría. Usuario con rol Directora de Casa de Convivencia.</t>
        </is>
      </c>
      <c r="G160" s="7" t="inlineStr">
        <is>
          <t>SCRUM-13, SCRUM-64</t>
        </is>
      </c>
      <c r="H160" s="7" t="inlineStr">
        <is>
          <t>1. Enviar PATCH …/status con el token de la Directora  →  La API responde 403 Forbidden</t>
        </is>
      </c>
      <c r="I160" s="7" t="inlineStr">
        <is>
          <t>Vicaria.IntegrationTests › ObservationCategoriesEndpointTests › ToggleStatus_AsDirectora_Returns403</t>
        </is>
      </c>
      <c r="J160" s="7" t="inlineStr">
        <is>
          <t>OK</t>
        </is>
      </c>
      <c r="K160" s="7" t="inlineStr">
        <is>
          <t>2026-10-14</t>
        </is>
      </c>
      <c r="L160" s="7" t="inlineStr">
        <is>
          <t>Suite automatizada</t>
        </is>
      </c>
    </row>
    <row r="161">
      <c r="A161" s="7" t="inlineStr">
        <is>
          <t>TA-160</t>
        </is>
      </c>
      <c r="B161" s="7" t="inlineStr">
        <is>
          <t>Sprint 1-2</t>
        </is>
      </c>
      <c r="C161" s="7" t="inlineStr">
        <is>
          <t>Pruebas automatizadas — Categorías de observación (EP-02)</t>
        </is>
      </c>
      <c r="D161" s="7" t="inlineStr">
        <is>
          <t>Validar que cambiar el estado sin token no esté autorizado</t>
        </is>
      </c>
      <c r="E161" s="7" t="inlineStr">
        <is>
          <t>Cambiar estado sin token no autoriza (401).</t>
        </is>
      </c>
      <c r="F161" s="7" t="inlineStr">
        <is>
          <t>El cliente no envía token.</t>
        </is>
      </c>
      <c r="G161" s="7" t="inlineStr">
        <is>
          <t>EP-02</t>
        </is>
      </c>
      <c r="H161" s="7" t="inlineStr">
        <is>
          <t>1. Enviar PATCH …/status sin autenticación  →  La API responde 401 Unauthorized</t>
        </is>
      </c>
      <c r="I161" s="7" t="inlineStr">
        <is>
          <t>Vicaria.IntegrationTests › ObservationCategoriesEndpointTests › ToggleStatus_WithoutToken_Returns401</t>
        </is>
      </c>
      <c r="J161" s="7" t="inlineStr">
        <is>
          <t>OK</t>
        </is>
      </c>
      <c r="K161" s="7" t="inlineStr">
        <is>
          <t>2026-10-14</t>
        </is>
      </c>
      <c r="L161" s="7" t="inlineStr">
        <is>
          <t>Suite automatizada</t>
        </is>
      </c>
    </row>
    <row r="162">
      <c r="A162" s="7" t="inlineStr">
        <is>
          <t>TA-161</t>
        </is>
      </c>
      <c r="B162" s="7" t="inlineStr">
        <is>
          <t>Sprint 1-2</t>
        </is>
      </c>
      <c r="C162" s="7" t="inlineStr">
        <is>
          <t>Pruebas automatizadas — Categorías de observación (EP-02)</t>
        </is>
      </c>
      <c r="D162" s="7" t="inlineStr">
        <is>
          <t>Validar que la desactivación por API deje auditoría de la acción</t>
        </is>
      </c>
      <c r="E162" s="7" t="inlineStr">
        <is>
          <t>Desactivar deja un AuditLog con la acción.</t>
        </is>
      </c>
      <c r="F162" s="7" t="inlineStr">
        <is>
          <t>Usuario Referente. Existe la categoría "Salud".</t>
        </is>
      </c>
      <c r="G162" s="7" t="inlineStr">
        <is>
          <t>EP-02</t>
        </is>
      </c>
      <c r="H162" s="7" t="inlineStr">
        <is>
          <t>1. Enviar PATCH …/status con isActive=false  →  La categoría queda desactivada
2. Revisar la auditoría  →  Hay un AuditLog que indica la desactivación</t>
        </is>
      </c>
      <c r="I162" s="7" t="inlineStr">
        <is>
          <t>Vicaria.IntegrationTests › ObservationCategoriesEndpointTests › ToggleStatus_RegistersAuditLogWithDeactivationAction</t>
        </is>
      </c>
      <c r="J162" s="7" t="inlineStr">
        <is>
          <t>OK</t>
        </is>
      </c>
      <c r="K162" s="7" t="inlineStr">
        <is>
          <t>2026-10-14</t>
        </is>
      </c>
      <c r="L162" s="7" t="inlineStr">
        <is>
          <t>Suite automatizada</t>
        </is>
      </c>
    </row>
    <row r="163">
      <c r="A163" s="7" t="inlineStr">
        <is>
          <t>TA-162</t>
        </is>
      </c>
      <c r="B163" s="7" t="inlineStr">
        <is>
          <t>Sprint 1-2</t>
        </is>
      </c>
      <c r="C163" s="7" t="inlineStr">
        <is>
          <t>Pruebas automatizadas — Categorías de observación (EP-02)</t>
        </is>
      </c>
      <c r="D163" s="7" t="inlineStr">
        <is>
          <t>Validar que una categoría desactivada no admita observaciones nuevas</t>
        </is>
      </c>
      <c r="E163" s="7" t="inlineStr">
        <is>
          <t>Una categoría desactivada no se puede usar en una observación nueva (400).</t>
        </is>
      </c>
      <c r="F163" s="7" t="inlineStr">
        <is>
          <t>Usuario Referente. Existe una ficha y una categoría desactivada.</t>
        </is>
      </c>
      <c r="G163" s="7" t="inlineStr">
        <is>
          <t>EP-02</t>
        </is>
      </c>
      <c r="H163" s="7" t="inlineStr">
        <is>
          <t>1. Enviar una observación nueva usando la categoría desactivada  →  La API responde 400 Bad Request</t>
        </is>
      </c>
      <c r="I163" s="7" t="inlineStr">
        <is>
          <t>Vicaria.IntegrationTests › ObservationCategoriesEndpointTests › ToggleStatus_DeactivatedCategory_RejectsNewObservation_Returns400</t>
        </is>
      </c>
      <c r="J163" s="7" t="inlineStr">
        <is>
          <t>OK</t>
        </is>
      </c>
      <c r="K163" s="7" t="inlineStr">
        <is>
          <t>2026-10-14</t>
        </is>
      </c>
      <c r="L163" s="7" t="inlineStr">
        <is>
          <t>Suite automatizada</t>
        </is>
      </c>
    </row>
    <row r="164">
      <c r="A164" s="7" t="inlineStr">
        <is>
          <t>TA-163</t>
        </is>
      </c>
      <c r="B164" s="7" t="inlineStr">
        <is>
          <t>Sprint 1-2</t>
        </is>
      </c>
      <c r="C164" s="7" t="inlineStr">
        <is>
          <t>Pruebas automatizadas — Categorías de observación (EP-02)</t>
        </is>
      </c>
      <c r="D164" s="7" t="inlineStr">
        <is>
          <t>Validar que GET con onlyActive=true devuelva solo categorías activas</t>
        </is>
      </c>
      <c r="E164" s="7" t="inlineStr">
        <is>
          <t>onlyActive=true devuelve solo activas --- el contrato real del combo de H09.</t>
        </is>
      </c>
      <c r="F164" s="7" t="inlineStr">
        <is>
          <t>Usuario Referente. Existen una categoría activa y otra inactiva.</t>
        </is>
      </c>
      <c r="G164" s="7" t="inlineStr">
        <is>
          <t>EP-02</t>
        </is>
      </c>
      <c r="H164" s="7" t="inlineStr">
        <is>
          <t>1. Enviar GET /api/observation-categories?onlyActive=true  →  La API responde 200 y solo se devuelve la activa</t>
        </is>
      </c>
      <c r="I164" s="7" t="inlineStr">
        <is>
          <t>Vicaria.IntegrationTests › ObservationCategoriesEndpointTests › Get_OnlyActiveTrue_ReturnsOnlyActiveCategories</t>
        </is>
      </c>
      <c r="J164" s="7" t="inlineStr">
        <is>
          <t>OK</t>
        </is>
      </c>
      <c r="K164" s="7" t="inlineStr">
        <is>
          <t>2026-10-14</t>
        </is>
      </c>
      <c r="L164" s="7" t="inlineStr">
        <is>
          <t>Suite automatizada</t>
        </is>
      </c>
    </row>
    <row r="165">
      <c r="A165" s="7" t="inlineStr">
        <is>
          <t>TA-164</t>
        </is>
      </c>
      <c r="B165" s="7" t="inlineStr">
        <is>
          <t>Sprint 1-2</t>
        </is>
      </c>
      <c r="C165" s="7" t="inlineStr">
        <is>
          <t>Pruebas automatizadas — Categorías de observación (EP-02)</t>
        </is>
      </c>
      <c r="D165" s="7" t="inlineStr">
        <is>
          <t>Validar que GET con onlyActive=false devuelva todas las categorías</t>
        </is>
      </c>
      <c r="E165" s="7" t="inlineStr">
        <is>
          <t>onlyActive=false devuelve todas.</t>
        </is>
      </c>
      <c r="F165" s="7" t="inlineStr">
        <is>
          <t>Usuario Referente. Existen una categoría activa y otra inactiva.</t>
        </is>
      </c>
      <c r="G165" s="7" t="inlineStr">
        <is>
          <t>EP-02</t>
        </is>
      </c>
      <c r="H165" s="7" t="inlineStr">
        <is>
          <t>1. Enviar GET /api/observation-categories?onlyActive=false  →  La API responde 200 y se devuelven activas e inactivas</t>
        </is>
      </c>
      <c r="I165" s="7" t="inlineStr">
        <is>
          <t>Vicaria.IntegrationTests › ObservationCategoriesEndpointTests › Get_OnlyActiveFalse_ReturnsAllCategories</t>
        </is>
      </c>
      <c r="J165" s="7" t="inlineStr">
        <is>
          <t>OK</t>
        </is>
      </c>
      <c r="K165" s="7" t="inlineStr">
        <is>
          <t>2026-10-14</t>
        </is>
      </c>
      <c r="L165" s="7" t="inlineStr">
        <is>
          <t>Suite automatizada</t>
        </is>
      </c>
    </row>
    <row r="166">
      <c r="A166" s="7" t="inlineStr">
        <is>
          <t>TA-165</t>
        </is>
      </c>
      <c r="B166" s="7" t="inlineStr">
        <is>
          <t>Sprint 1-2</t>
        </is>
      </c>
      <c r="C166" s="7" t="inlineStr">
        <is>
          <t>Pruebas automatizadas — Categorías de observación (EP-02)</t>
        </is>
      </c>
      <c r="D166" s="7" t="inlineStr">
        <is>
          <t>Validar que listar categorías sin token no esté autorizado</t>
        </is>
      </c>
      <c r="E166" s="7" t="inlineStr">
        <is>
          <t>Sin token no autoriza (401).</t>
        </is>
      </c>
      <c r="F166" s="7" t="inlineStr">
        <is>
          <t>El cliente no envía token.</t>
        </is>
      </c>
      <c r="G166" s="7" t="inlineStr">
        <is>
          <t>EP-02</t>
        </is>
      </c>
      <c r="H166" s="7" t="inlineStr">
        <is>
          <t>1. Enviar GET /api/observation-categories sin autenticación  →  La API responde 401 Unauthorized</t>
        </is>
      </c>
      <c r="I166" s="7" t="inlineStr">
        <is>
          <t>Vicaria.IntegrationTests › ObservationCategoriesEndpointTests › Get_WithoutToken_Returns401</t>
        </is>
      </c>
      <c r="J166" s="7" t="inlineStr">
        <is>
          <t>OK</t>
        </is>
      </c>
      <c r="K166" s="7" t="inlineStr">
        <is>
          <t>2026-10-14</t>
        </is>
      </c>
      <c r="L166" s="7" t="inlineStr">
        <is>
          <t>Suite automatizada</t>
        </is>
      </c>
    </row>
    <row r="167">
      <c r="A167" s="7" t="inlineStr">
        <is>
          <t>TA-166</t>
        </is>
      </c>
      <c r="B167" s="7" t="inlineStr">
        <is>
          <t>Sprint 1-2</t>
        </is>
      </c>
      <c r="C167" s="7" t="inlineStr">
        <is>
          <t>Pruebas automatizadas — Categorías de observación (EP-02)</t>
        </is>
      </c>
      <c r="D167" s="7" t="inlineStr">
        <is>
          <t>Validar que el Coordinador pueda listar categorías</t>
        </is>
      </c>
      <c r="E167" s="7" t="inlineStr">
        <is>
          <t>Coordinador puede consultar categorías (200).</t>
        </is>
      </c>
      <c r="F167" s="7" t="inlineStr">
        <is>
          <t>Usuario con rol Coordinador de Casa de Convivencia. Existe una categoría.</t>
        </is>
      </c>
      <c r="G167" s="7" t="inlineStr">
        <is>
          <t>EP-02</t>
        </is>
      </c>
      <c r="H167" s="7" t="inlineStr">
        <is>
          <t>1. Enviar GET /api/observation-categories con el token del Coordinador  →  La API responde 200 OK</t>
        </is>
      </c>
      <c r="I167" s="7" t="inlineStr">
        <is>
          <t>Vicaria.IntegrationTests › ObservationCategoriesEndpointTests › Get_AsCoordinadorDeCasaConvivencia_Returns200</t>
        </is>
      </c>
      <c r="J167" s="7" t="inlineStr">
        <is>
          <t>OK</t>
        </is>
      </c>
      <c r="K167" s="7" t="inlineStr">
        <is>
          <t>2026-10-14</t>
        </is>
      </c>
      <c r="L167" s="7" t="inlineStr">
        <is>
          <t>Suite automatizada</t>
        </is>
      </c>
    </row>
    <row r="168">
      <c r="A168" s="7" t="inlineStr">
        <is>
          <t>TA-167</t>
        </is>
      </c>
      <c r="B168" s="7" t="inlineStr">
        <is>
          <t>Sprint 1-2</t>
        </is>
      </c>
      <c r="C168" s="7" t="inlineStr">
        <is>
          <t>Pruebas automatizadas — Observaciones, línea de tiempo y exportación (EP-02)</t>
        </is>
      </c>
      <c r="D168" s="7" t="inlineStr">
        <is>
          <t>Validar que el CSV exportado incluya solo las observaciones que cumplen el filtro</t>
        </is>
      </c>
      <c r="E168" s="7" t="inlineStr">
        <is>
          <t>Exportar observaciones a CSV respetando el filtro aplicado</t>
        </is>
      </c>
      <c r="F168" s="7" t="inlineStr">
        <is>
          <t>Existe una persona con observaciones de distintas categorías.</t>
        </is>
      </c>
      <c r="G168" s="7" t="inlineStr">
        <is>
          <t>EP-02</t>
        </is>
      </c>
      <c r="H168" s="7" t="inlineStr">
        <is>
          <t>1. Exportar el CSV filtrando por una categoría  →  El CSV contiene únicamente las observaciones de esa categoría</t>
        </is>
      </c>
      <c r="I168" s="7" t="inlineStr">
        <is>
          <t>Vicaria.UnitTests › ObservationServiceTests › ExportToCsvAsync_DevuelveSoloLasObservacionesQueCoincidenConElFiltro</t>
        </is>
      </c>
      <c r="J168" s="7" t="inlineStr">
        <is>
          <t>OK</t>
        </is>
      </c>
      <c r="K168" s="7" t="inlineStr">
        <is>
          <t>2026-10-14</t>
        </is>
      </c>
      <c r="L168" s="7" t="inlineStr">
        <is>
          <t>Suite automatizada</t>
        </is>
      </c>
    </row>
    <row r="169">
      <c r="A169" s="7" t="inlineStr">
        <is>
          <t>TA-168</t>
        </is>
      </c>
      <c r="B169" s="7" t="inlineStr">
        <is>
          <t>Sprint 1-2</t>
        </is>
      </c>
      <c r="C169" s="7" t="inlineStr">
        <is>
          <t>Pruebas automatizadas — Observaciones, línea de tiempo y exportación (EP-02)</t>
        </is>
      </c>
      <c r="D169" s="7" t="inlineStr">
        <is>
          <t>Validar que el CSV escape comas y comillas del contenido</t>
        </is>
      </c>
      <c r="E169" s="7" t="inlineStr">
        <is>
          <t>Exportar observaciones a CSV escapando comas y comillas</t>
        </is>
      </c>
      <c r="F169" s="7" t="inlineStr">
        <is>
          <t>Existe una persona con una observación cuyo contenido tiene comas y comillas.</t>
        </is>
      </c>
      <c r="G169" s="7" t="inlineStr">
        <is>
          <t>EP-02</t>
        </is>
      </c>
      <c r="H169" s="7" t="inlineStr">
        <is>
          <t>1. Exportar el CSV de la persona  →  El contenido queda entrecomillado y las comillas duplicadas, sin romper las columnas</t>
        </is>
      </c>
      <c r="I169" s="7" t="inlineStr">
        <is>
          <t>Vicaria.UnitTests › ObservationServiceTests › ExportToCsvAsync_EscapaComasYComillasEnElContenido</t>
        </is>
      </c>
      <c r="J169" s="7" t="inlineStr">
        <is>
          <t>OK</t>
        </is>
      </c>
      <c r="K169" s="7" t="inlineStr">
        <is>
          <t>2026-10-14</t>
        </is>
      </c>
      <c r="L169" s="7" t="inlineStr">
        <is>
          <t>Suite automatizada</t>
        </is>
      </c>
    </row>
    <row r="170">
      <c r="A170" s="7" t="inlineStr">
        <is>
          <t>TA-169</t>
        </is>
      </c>
      <c r="B170" s="7" t="inlineStr">
        <is>
          <t>Sprint 1-2</t>
        </is>
      </c>
      <c r="C170" s="7" t="inlineStr">
        <is>
          <t>Pruebas automatizadas — Observaciones, línea de tiempo y exportación (EP-02)</t>
        </is>
      </c>
      <c r="D170" s="7" t="inlineStr">
        <is>
          <t>Validar que sin observaciones el CSV traiga solo el encabezado</t>
        </is>
      </c>
      <c r="E170" s="7" t="inlineStr">
        <is>
          <t>Exportar CSV de una persona sin observaciones</t>
        </is>
      </c>
      <c r="F170" s="7" t="inlineStr">
        <is>
          <t>Persona sin observaciones.</t>
        </is>
      </c>
      <c r="G170" s="7" t="inlineStr">
        <is>
          <t>EP-02</t>
        </is>
      </c>
      <c r="H170" s="7" t="inlineStr">
        <is>
          <t>1. Exportar el CSV  →  El CSV contiene únicamente "Fecha,Categoría,Autor,Contenido"</t>
        </is>
      </c>
      <c r="I170" s="7" t="inlineStr">
        <is>
          <t>Vicaria.UnitTests › ObservationServiceTests › ExportToCsvAsync_SinObservaciones_DevuelveSoloElEncabezado</t>
        </is>
      </c>
      <c r="J170" s="7" t="inlineStr">
        <is>
          <t>OK</t>
        </is>
      </c>
      <c r="K170" s="7" t="inlineStr">
        <is>
          <t>2026-10-14</t>
        </is>
      </c>
      <c r="L170" s="7" t="inlineStr">
        <is>
          <t>Suite automatizada</t>
        </is>
      </c>
    </row>
    <row r="171">
      <c r="A171" s="7" t="inlineStr">
        <is>
          <t>TA-170</t>
        </is>
      </c>
      <c r="B171" s="7" t="inlineStr">
        <is>
          <t>Sprint 1-2</t>
        </is>
      </c>
      <c r="C171" s="7" t="inlineStr">
        <is>
          <t>Pruebas automatizadas — Observaciones, línea de tiempo y exportación (EP-02)</t>
        </is>
      </c>
      <c r="D171" s="7" t="inlineStr">
        <is>
          <t>Validar que la línea de tiempo filtrada por categoría devuelva el conteo y los elementos que coinciden</t>
        </is>
      </c>
      <c r="E171" s="7" t="inlineStr">
        <is>
          <t>Línea de tiempo filtrada por categoría con conteo de coincidencias</t>
        </is>
      </c>
      <c r="F171" s="7" t="inlineStr">
        <is>
          <t>Persona con observaciones de las categorías Salud y Legal.</t>
        </is>
      </c>
      <c r="G171" s="7" t="inlineStr">
        <is>
          <t>EP-02</t>
        </is>
      </c>
      <c r="H171" s="7" t="inlineStr">
        <is>
          <t>1. Enviar GET /api/persons/{id}/observations filtrando por categoría  →  La API responde 200
2. Revisar el total y los elementos  →  El conteo y los elementos corresponden solo a la categoría filtrada</t>
        </is>
      </c>
      <c r="I171" s="7" t="inlineStr">
        <is>
          <t>Vicaria.IntegrationTests › ObservationsTimelineEndpointTests › GetTimeline_FiltradoPorCategoria_DevuelveConteoCorrectoYElementosCoincidentes</t>
        </is>
      </c>
      <c r="J171" s="7" t="inlineStr">
        <is>
          <t>OK</t>
        </is>
      </c>
      <c r="K171" s="7" t="inlineStr">
        <is>
          <t>2026-10-14</t>
        </is>
      </c>
      <c r="L171" s="7" t="inlineStr">
        <is>
          <t>Suite automatizada</t>
        </is>
      </c>
    </row>
    <row r="172">
      <c r="A172" s="7" t="inlineStr">
        <is>
          <t>TA-171</t>
        </is>
      </c>
      <c r="B172" s="7" t="inlineStr">
        <is>
          <t>Sprint 1-2</t>
        </is>
      </c>
      <c r="C172" s="7" t="inlineStr">
        <is>
          <t>Pruebas automatizadas — Observaciones, línea de tiempo y exportación (EP-02)</t>
        </is>
      </c>
      <c r="D172" s="7" t="inlineStr">
        <is>
          <t>Validar que sin filtros se devuelva el total completo ordenado de más reciente a más antiguo</t>
        </is>
      </c>
      <c r="E172" s="7" t="inlineStr">
        <is>
          <t>Línea de tiempo sin filtros, ordenada de más reciente a más antigua</t>
        </is>
      </c>
      <c r="F172" s="7" t="inlineStr">
        <is>
          <t>Persona con varias observaciones de distintas fechas.</t>
        </is>
      </c>
      <c r="G172" s="7" t="inlineStr">
        <is>
          <t>EP-02</t>
        </is>
      </c>
      <c r="H172" s="7" t="inlineStr">
        <is>
          <t>1. Enviar GET /api/persons/{id}/observations sin filtros  →  La API responde 200 con el total completo
2. Revisar el orden  →  Las observaciones vienen de la más reciente a la más antigua</t>
        </is>
      </c>
      <c r="I172" s="7" t="inlineStr">
        <is>
          <t>Vicaria.IntegrationTests › ObservationsTimelineEndpointTests › GetTimeline_SinFiltros_DevuelveTotalCompletoYOrdenDescendente</t>
        </is>
      </c>
      <c r="J172" s="7" t="inlineStr">
        <is>
          <t>OK</t>
        </is>
      </c>
      <c r="K172" s="7" t="inlineStr">
        <is>
          <t>2026-10-14</t>
        </is>
      </c>
      <c r="L172" s="7" t="inlineStr">
        <is>
          <t>Suite automatizada</t>
        </is>
      </c>
    </row>
    <row r="173">
      <c r="A173" s="7" t="inlineStr">
        <is>
          <t>TA-172</t>
        </is>
      </c>
      <c r="B173" s="7" t="inlineStr">
        <is>
          <t>Sprint 1-2</t>
        </is>
      </c>
      <c r="C173" s="7" t="inlineStr">
        <is>
          <t>Pruebas automatizadas — Observaciones, línea de tiempo y exportación (EP-02)</t>
        </is>
      </c>
      <c r="D173" s="7" t="inlineStr">
        <is>
          <t>Validar que el Coordinador pueda ver la línea de tiempo de una persona</t>
        </is>
      </c>
      <c r="E173" s="7" t="inlineStr">
        <is>
          <t>Coordinador puede consultar la línea de tiempo</t>
        </is>
      </c>
      <c r="F173" s="7" t="inlineStr">
        <is>
          <t>Persona existente. Usuario con rol Coordinador.</t>
        </is>
      </c>
      <c r="G173" s="7" t="inlineStr">
        <is>
          <t>EP-02</t>
        </is>
      </c>
      <c r="H173" s="7" t="inlineStr">
        <is>
          <t>1. Enviar GET /api/persons/{id}/observations con el token del Coordinador  →  La API responde 200 OK</t>
        </is>
      </c>
      <c r="I173" s="7" t="inlineStr">
        <is>
          <t>Vicaria.IntegrationTests › ObservationsTimelineEndpointTests › GetTimeline_AsCoordinadorDeCasaConvivencia_Returns200</t>
        </is>
      </c>
      <c r="J173" s="7" t="inlineStr">
        <is>
          <t>OK</t>
        </is>
      </c>
      <c r="K173" s="7" t="inlineStr">
        <is>
          <t>2026-10-14</t>
        </is>
      </c>
      <c r="L173" s="7" t="inlineStr">
        <is>
          <t>Suite automatizada</t>
        </is>
      </c>
    </row>
    <row r="174">
      <c r="A174" s="7" t="inlineStr">
        <is>
          <t>TA-173</t>
        </is>
      </c>
      <c r="B174" s="7" t="inlineStr">
        <is>
          <t>Sprint 1-2</t>
        </is>
      </c>
      <c r="C174" s="7" t="inlineStr">
        <is>
          <t>Pruebas automatizadas — Observaciones, línea de tiempo y exportación (EP-02)</t>
        </is>
      </c>
      <c r="D174" s="7" t="inlineStr">
        <is>
          <t>Validar que el Coordinador pueda cargar una observación</t>
        </is>
      </c>
      <c r="E174" s="7" t="inlineStr">
        <is>
          <t>Coordinador puede cargar observaciones</t>
        </is>
      </c>
      <c r="F174" s="7" t="inlineStr">
        <is>
          <t>Persona existente. Usuario con rol Coordinador.</t>
        </is>
      </c>
      <c r="G174" s="7" t="inlineStr">
        <is>
          <t>EP-02</t>
        </is>
      </c>
      <c r="H174" s="7" t="inlineStr">
        <is>
          <t>1. Enviar POST /api/persons/{id}/observations con contenido  →  La API responde 201 Created</t>
        </is>
      </c>
      <c r="I174" s="7" t="inlineStr">
        <is>
          <t>Vicaria.IntegrationTests › ObservationsTimelineEndpointTests › CreateObservation_AsCoordinadorDeCasaConvivencia_Returns201</t>
        </is>
      </c>
      <c r="J174" s="7" t="inlineStr">
        <is>
          <t>OK</t>
        </is>
      </c>
      <c r="K174" s="7" t="inlineStr">
        <is>
          <t>2026-10-14</t>
        </is>
      </c>
      <c r="L174" s="7" t="inlineStr">
        <is>
          <t>Suite automatizada</t>
        </is>
      </c>
    </row>
    <row r="175">
      <c r="A175" s="7" t="inlineStr">
        <is>
          <t>TA-174</t>
        </is>
      </c>
      <c r="B175" s="7" t="inlineStr">
        <is>
          <t>Sprint 1-2</t>
        </is>
      </c>
      <c r="C175" s="7" t="inlineStr">
        <is>
          <t>Pruebas automatizadas — Observaciones, línea de tiempo y exportación (EP-02)</t>
        </is>
      </c>
      <c r="D175" s="7" t="inlineStr">
        <is>
          <t>Validar que el endpoint de exportación devuelva un CSV con las observaciones filtradas (hallazgo H16)</t>
        </is>
      </c>
      <c r="E175" s="7" t="inlineStr">
        <is>
          <t>Endpoint de exportación a CSV con filtros</t>
        </is>
      </c>
      <c r="F175" s="7" t="inlineStr">
        <is>
          <t>Persona con observaciones de varias categorías. Usuario autenticado.</t>
        </is>
      </c>
      <c r="G175" s="7" t="inlineStr">
        <is>
          <t>EP-02</t>
        </is>
      </c>
      <c r="H175" s="7" t="inlineStr">
        <is>
          <t>1. Enviar GET /api/persons/{id}/observations/export filtrando por categoría  →  La API responde 200 con un archivo CSV
2. Revisar el contenido  →  Solo contiene las observaciones filtradas</t>
        </is>
      </c>
      <c r="I175" s="7" t="inlineStr">
        <is>
          <t>Vicaria.IntegrationTests › ObservationsTimelineEndpointTests › Export_DevuelveCsvConLasObservacionesFiltradas</t>
        </is>
      </c>
      <c r="J175" s="7" t="inlineStr">
        <is>
          <t>OK</t>
        </is>
      </c>
      <c r="K175" s="7" t="inlineStr">
        <is>
          <t>2026-10-14</t>
        </is>
      </c>
      <c r="L175" s="7" t="inlineStr">
        <is>
          <t>Suite automatizada</t>
        </is>
      </c>
    </row>
    <row r="176">
      <c r="A176" s="7" t="inlineStr">
        <is>
          <t>TA-175</t>
        </is>
      </c>
      <c r="B176" s="7" t="inlineStr">
        <is>
          <t>Sprint 1-2</t>
        </is>
      </c>
      <c r="C176" s="7" t="inlineStr">
        <is>
          <t>Pruebas automatizadas — Observaciones, línea de tiempo y exportación (EP-02)</t>
        </is>
      </c>
      <c r="D176" s="7" t="inlineStr">
        <is>
          <t>Validar que exportar sin token no esté autorizado</t>
        </is>
      </c>
      <c r="E176" s="7" t="inlineStr">
        <is>
          <t>Exportar sin autenticación devuelve 401</t>
        </is>
      </c>
      <c r="F176" s="7" t="inlineStr">
        <is>
          <t>El cliente no envía token.</t>
        </is>
      </c>
      <c r="G176" s="7" t="inlineStr">
        <is>
          <t>EP-02</t>
        </is>
      </c>
      <c r="H176" s="7" t="inlineStr">
        <is>
          <t>1. Enviar GET /api/persons/{id}/observations/export sin autenticación  →  La API responde 401 Unauthorized</t>
        </is>
      </c>
      <c r="I176" s="7" t="inlineStr">
        <is>
          <t>Vicaria.IntegrationTests › ObservationsTimelineEndpointTests › Export_SinToken_Devuelve401</t>
        </is>
      </c>
      <c r="J176" s="7" t="inlineStr">
        <is>
          <t>OK</t>
        </is>
      </c>
      <c r="K176" s="7" t="inlineStr">
        <is>
          <t>2026-10-14</t>
        </is>
      </c>
      <c r="L176" s="7" t="inlineStr">
        <is>
          <t>Suite automatizada</t>
        </is>
      </c>
    </row>
    <row r="177">
      <c r="A177" s="7" t="inlineStr">
        <is>
          <t>TA-176</t>
        </is>
      </c>
      <c r="B177" s="7" t="inlineStr">
        <is>
          <t>Sprint 1-2</t>
        </is>
      </c>
      <c r="C177" s="7" t="inlineStr">
        <is>
          <t>Pruebas automatizadas — Historia de vida (EP-02)</t>
        </is>
      </c>
      <c r="D177" s="7" t="inlineStr">
        <is>
          <t>Validar que la primera carga cree la historia y edite solo la etapa indicada</t>
        </is>
      </c>
      <c r="E177" s="7" t="inlineStr">
        <is>
          <t>Guardar la primera vez crea la fila y esa etapa.</t>
        </is>
      </c>
      <c r="F177" s="7" t="inlineStr">
        <is>
          <t>Existe una persona sin historia de vida.</t>
        </is>
      </c>
      <c r="G177" s="7" t="inlineStr">
        <is>
          <t>EP-02</t>
        </is>
      </c>
      <c r="H177" s="7" t="inlineStr">
        <is>
          <t>1. Guardar el texto de la etapa "En el hogar" (con espacios alrededor)  →  La operación devuelve la historia
2. Consultar la historia en la base  →  Solo la etapa En el hogar tiene texto (sin espacios sobrantes), con autor y fecha; las otras dos etapas siguen vacías</t>
        </is>
      </c>
      <c r="I177" s="7" t="inlineStr">
        <is>
          <t>Vicaria.UnitTests › LifeStoryServiceTests › UpdateStageAsync_PersonaExistenteSinHistoria_CreaFilaYEditaSoloLaEtapa</t>
        </is>
      </c>
      <c r="J177" s="7" t="inlineStr">
        <is>
          <t>OK</t>
        </is>
      </c>
      <c r="K177" s="7" t="inlineStr">
        <is>
          <t>2026-10-14</t>
        </is>
      </c>
      <c r="L177" s="7" t="inlineStr">
        <is>
          <t>Suite automatizada</t>
        </is>
      </c>
    </row>
    <row r="178">
      <c r="A178" s="7" t="inlineStr">
        <is>
          <t>TA-177</t>
        </is>
      </c>
      <c r="B178" s="7" t="inlineStr">
        <is>
          <t>Sprint 1-2</t>
        </is>
      </c>
      <c r="C178" s="7" t="inlineStr">
        <is>
          <t>Pruebas automatizadas — Historia de vida (EP-02)</t>
        </is>
      </c>
      <c r="D178" s="7" t="inlineStr">
        <is>
          <t>Validar que editar una etapa no modifique las otras</t>
        </is>
      </c>
      <c r="E178" s="7" t="inlineStr">
        <is>
          <t>Editar una etapa no toca el contenido de las otras dos.</t>
        </is>
      </c>
      <c r="F178" s="7" t="inlineStr">
        <is>
          <t>Existe una persona con la etapa "Antes del hogar" cargada.</t>
        </is>
      </c>
      <c r="G178" s="7" t="inlineStr">
        <is>
          <t>EP-02</t>
        </is>
      </c>
      <c r="H178" s="7" t="inlineStr">
        <is>
          <t>1. Guardar texto en otra etapa  →  La operación es exitosa
2. Consultar la etapa "Antes del hogar"  →  Conserva su contenido original</t>
        </is>
      </c>
      <c r="I178" s="7" t="inlineStr">
        <is>
          <t>Vicaria.UnitTests › LifeStoryServiceTests › UpdateStageAsync_EditaUnaEtapaSinTocarLasOtras</t>
        </is>
      </c>
      <c r="J178" s="7" t="inlineStr">
        <is>
          <t>OK</t>
        </is>
      </c>
      <c r="K178" s="7" t="inlineStr">
        <is>
          <t>2026-10-14</t>
        </is>
      </c>
      <c r="L178" s="7" t="inlineStr">
        <is>
          <t>Suite automatizada</t>
        </is>
      </c>
    </row>
    <row r="179">
      <c r="A179" s="7" t="inlineStr">
        <is>
          <t>TA-178</t>
        </is>
      </c>
      <c r="B179" s="7" t="inlineStr">
        <is>
          <t>Sprint 1-2</t>
        </is>
      </c>
      <c r="C179" s="7" t="inlineStr">
        <is>
          <t>Pruebas automatizadas — Historia de vida (EP-02)</t>
        </is>
      </c>
      <c r="D179" s="7" t="inlineStr">
        <is>
          <t>Validar que guardar el mismo contenido no cambie el autor ni la fecha</t>
        </is>
      </c>
      <c r="E179" s="7" t="inlineStr">
        <is>
          <t>Guardar el mismo contenido no reescribe autor/fecha.</t>
        </is>
      </c>
      <c r="F179" s="7" t="inlineStr">
        <is>
          <t>Existe una persona con una etapa cargada cuya fecha de edición es antigua.</t>
        </is>
      </c>
      <c r="G179" s="7" t="inlineStr">
        <is>
          <t>EP-02</t>
        </is>
      </c>
      <c r="H179" s="7" t="inlineStr">
        <is>
          <t>1. Guardar la etapa con exactamente el mismo texto  →  La operación devuelve la historia
2. Consultar la fecha de edición  →  La fecha y el autor no se modificaron</t>
        </is>
      </c>
      <c r="I179" s="7" t="inlineStr">
        <is>
          <t>Vicaria.UnitTests › LifeStoryServiceTests › UpdateStageAsync_ConMismoContenido_NoReescribeAutorYTiempo</t>
        </is>
      </c>
      <c r="J179" s="7" t="inlineStr">
        <is>
          <t>OK</t>
        </is>
      </c>
      <c r="K179" s="7" t="inlineStr">
        <is>
          <t>2026-10-14</t>
        </is>
      </c>
      <c r="L179" s="7" t="inlineStr">
        <is>
          <t>Suite automatizada</t>
        </is>
      </c>
    </row>
    <row r="180">
      <c r="A180" s="7" t="inlineStr">
        <is>
          <t>TA-179</t>
        </is>
      </c>
      <c r="B180" s="7" t="inlineStr">
        <is>
          <t>Sprint 1-2</t>
        </is>
      </c>
      <c r="C180" s="7" t="inlineStr">
        <is>
          <t>Pruebas automatizadas — Historia de vida (EP-02)</t>
        </is>
      </c>
      <c r="D180" s="7" t="inlineStr">
        <is>
          <t>Validar que guardar la historia de una persona inexistente devuelva null</t>
        </is>
      </c>
      <c r="E180" s="7" t="inlineStr">
        <is>
          <t>Una persona inexistente devuelve null.</t>
        </is>
      </c>
      <c r="F180" s="7" t="inlineStr">
        <is>
          <t>No existe la persona indicada.</t>
        </is>
      </c>
      <c r="G180" s="7" t="inlineStr">
        <is>
          <t>EP-02</t>
        </is>
      </c>
      <c r="H180" s="7" t="inlineStr">
        <is>
          <t>1. Guardar una etapa para un id inexistente  →  El resultado es null</t>
        </is>
      </c>
      <c r="I180" s="7" t="inlineStr">
        <is>
          <t>Vicaria.UnitTests › LifeStoryServiceTests › UpdateStageAsync_PersonaInexistente_DevuelveNull</t>
        </is>
      </c>
      <c r="J180" s="7" t="inlineStr">
        <is>
          <t>OK</t>
        </is>
      </c>
      <c r="K180" s="7" t="inlineStr">
        <is>
          <t>2026-10-14</t>
        </is>
      </c>
      <c r="L180" s="7" t="inlineStr">
        <is>
          <t>Suite automatizada</t>
        </is>
      </c>
    </row>
    <row r="181">
      <c r="A181" s="7" t="inlineStr">
        <is>
          <t>TA-180</t>
        </is>
      </c>
      <c r="B181" s="7" t="inlineStr">
        <is>
          <t>Sprint 1-2</t>
        </is>
      </c>
      <c r="C181" s="7" t="inlineStr">
        <is>
          <t>Pruebas automatizadas — Historia de vida (EP-02)</t>
        </is>
      </c>
      <c r="D181" s="7" t="inlineStr">
        <is>
          <t>Validar que una persona sin historia devuelva las tres etapas vacías</t>
        </is>
      </c>
      <c r="E181" s="7" t="inlineStr">
        <is>
          <t>Sin historia previa, las 3 secciones vienen vacías.</t>
        </is>
      </c>
      <c r="F181" s="7" t="inlineStr">
        <is>
          <t>Existe una persona sin historia de vida.</t>
        </is>
      </c>
      <c r="G181" s="7" t="inlineStr">
        <is>
          <t>EP-02</t>
        </is>
      </c>
      <c r="H181" s="7" t="inlineStr">
        <is>
          <t>1. Consultar la historia de vida de la persona  →  Se devuelven las 3 etapas vacías y sin marcar como completas</t>
        </is>
      </c>
      <c r="I181" s="7" t="inlineStr">
        <is>
          <t>Vicaria.UnitTests › LifeStoryServiceTests › GetByPersonIdAsync_SinHistoria_DevuelveSeccionesVacias</t>
        </is>
      </c>
      <c r="J181" s="7" t="inlineStr">
        <is>
          <t>OK</t>
        </is>
      </c>
      <c r="K181" s="7" t="inlineStr">
        <is>
          <t>2026-10-14</t>
        </is>
      </c>
      <c r="L181" s="7" t="inlineStr">
        <is>
          <t>Suite automatizada</t>
        </is>
      </c>
    </row>
    <row r="182">
      <c r="A182" s="7" t="inlineStr">
        <is>
          <t>TA-181</t>
        </is>
      </c>
      <c r="B182" s="7" t="inlineStr">
        <is>
          <t>Sprint 1-2</t>
        </is>
      </c>
      <c r="C182" s="7" t="inlineStr">
        <is>
          <t>Pruebas automatizadas — Historia de vida (EP-02)</t>
        </is>
      </c>
      <c r="D182" s="7" t="inlineStr">
        <is>
          <t>Validar que dos guardados sumen dos entradas al historial sin perder la primera (hallazgo H08)</t>
        </is>
      </c>
      <c r="E182" s="7" t="inlineStr">
        <is>
          <t>(NUEVO, H08) Guardar dos veces suma dos entradas, no pisa la primera.</t>
        </is>
      </c>
      <c r="F182" s="7" t="inlineStr">
        <is>
          <t>Existe una persona y un usuario autor.</t>
        </is>
      </c>
      <c r="G182" s="7" t="inlineStr">
        <is>
          <t>EP-02</t>
        </is>
      </c>
      <c r="H182" s="7" t="inlineStr">
        <is>
          <t>1. Guardar un texto en una etapa  →  Se crea la primera entrada
2. Guardar otro texto en la misma etapa  →  El historial conserva ambas entradas, con la más nueva como contenido actual</t>
        </is>
      </c>
      <c r="I182" s="7" t="inlineStr">
        <is>
          <t>Vicaria.UnitTests › LifeStoryServiceTests › UpdateStageAsync_GuardaDosVeces_SumaDosEntradasAlHistorialSinPerderLaPrimera</t>
        </is>
      </c>
      <c r="J182" s="7" t="inlineStr">
        <is>
          <t>OK</t>
        </is>
      </c>
      <c r="K182" s="7" t="inlineStr">
        <is>
          <t>2026-10-14</t>
        </is>
      </c>
      <c r="L182" s="7" t="inlineStr">
        <is>
          <t>Suite automatizada</t>
        </is>
      </c>
    </row>
    <row r="183">
      <c r="A183" s="7" t="inlineStr">
        <is>
          <t>TA-182</t>
        </is>
      </c>
      <c r="B183" s="7" t="inlineStr">
        <is>
          <t>Sprint 1-2</t>
        </is>
      </c>
      <c r="C183" s="7" t="inlineStr">
        <is>
          <t>Pruebas automatizadas — Historia de vida (EP-02)</t>
        </is>
      </c>
      <c r="D183" s="7" t="inlineStr">
        <is>
          <t>Validar que un texto vacío no agregue una entrada en blanco al historial</t>
        </is>
      </c>
      <c r="E183" s="7" t="inlineStr">
        <is>
          <t>(NUEVO, H08) Contenido vacío no ensucia el historial con una entrada en blanco.</t>
        </is>
      </c>
      <c r="F183" s="7" t="inlineStr">
        <is>
          <t>Existe una persona.</t>
        </is>
      </c>
      <c r="G183" s="7" t="inlineStr">
        <is>
          <t>EP-02</t>
        </is>
      </c>
      <c r="H183" s="7" t="inlineStr">
        <is>
          <t>1. Guardar una etapa con el texto vacío  →  El historial no suma ninguna entrada en blanco</t>
        </is>
      </c>
      <c r="I183" s="7" t="inlineStr">
        <is>
          <t>Vicaria.UnitTests › LifeStoryServiceTests › UpdateStageAsync_ConContenidoVacio_NoSumaEntradaAlHistorial</t>
        </is>
      </c>
      <c r="J183" s="7" t="inlineStr">
        <is>
          <t>OK</t>
        </is>
      </c>
      <c r="K183" s="7" t="inlineStr">
        <is>
          <t>2026-10-14</t>
        </is>
      </c>
      <c r="L183" s="7" t="inlineStr">
        <is>
          <t>Suite automatizada</t>
        </is>
      </c>
    </row>
    <row r="184">
      <c r="A184" s="7" t="inlineStr">
        <is>
          <t>TA-183</t>
        </is>
      </c>
      <c r="B184" s="7" t="inlineStr">
        <is>
          <t>Sprint 1-2</t>
        </is>
      </c>
      <c r="C184" s="7" t="inlineStr">
        <is>
          <t>Pruebas automatizadas — Historia de vida (EP-02)</t>
        </is>
      </c>
      <c r="D184" s="7" t="inlineStr">
        <is>
          <t>Validar que el historial separe las entradas por etapa</t>
        </is>
      </c>
      <c r="E184" s="7" t="inlineStr">
        <is>
          <t>(NUEVO, H08) El historial de cada etapa se devuelve por separado.</t>
        </is>
      </c>
      <c r="F184" s="7" t="inlineStr">
        <is>
          <t>Existe una persona con entradas en distintas etapas.</t>
        </is>
      </c>
      <c r="G184" s="7" t="inlineStr">
        <is>
          <t>EP-02</t>
        </is>
      </c>
      <c r="H184" s="7" t="inlineStr">
        <is>
          <t>1. Consultar la historia de vida de la persona  →  Cada etapa lista solo sus propias entradas, con fecha y autor</t>
        </is>
      </c>
      <c r="I184" s="7" t="inlineStr">
        <is>
          <t>Vicaria.UnitTests › LifeStoryServiceTests › GetByPersonIdAsync_ConEntradasDeDistintasEtapas_LasSeparaCorrectamente</t>
        </is>
      </c>
      <c r="J184" s="7" t="inlineStr">
        <is>
          <t>OK</t>
        </is>
      </c>
      <c r="K184" s="7" t="inlineStr">
        <is>
          <t>2026-10-14</t>
        </is>
      </c>
      <c r="L184" s="7" t="inlineStr">
        <is>
          <t>Suite automatizada</t>
        </is>
      </c>
    </row>
    <row r="185">
      <c r="A185" s="7" t="inlineStr">
        <is>
          <t>TA-184</t>
        </is>
      </c>
      <c r="B185" s="7" t="inlineStr">
        <is>
          <t>Sprint 1-2</t>
        </is>
      </c>
      <c r="C185" s="7" t="inlineStr">
        <is>
          <t>Pruebas automatizadas — Historia de vida (EP-02)</t>
        </is>
      </c>
      <c r="D185" s="7" t="inlineStr">
        <is>
          <t>Validar que un Referente pueda cargar una etapa por la API</t>
        </is>
      </c>
      <c r="E185" s="7" t="inlineStr">
        <is>
          <t>Referente puede guardar/agregar una entrada (200).</t>
        </is>
      </c>
      <c r="F185" s="7" t="inlineStr">
        <is>
          <t>Usuario Referente. Existe una persona.</t>
        </is>
      </c>
      <c r="G185" s="7" t="inlineStr">
        <is>
          <t>EP-02</t>
        </is>
      </c>
      <c r="H185" s="7" t="inlineStr">
        <is>
          <t>1. Enviar PUT /api/persons/{id}/life-story/in-hogar con contenido  →  La API responde 200 OK y la etapa queda editada</t>
        </is>
      </c>
      <c r="I185" s="7" t="inlineStr">
        <is>
          <t>Vicaria.IntegrationTests › LifeStoriesEndpointTests › PutStage_ComoReferente_Devuelve200YEditaEtapa</t>
        </is>
      </c>
      <c r="J185" s="7" t="inlineStr">
        <is>
          <t>OK</t>
        </is>
      </c>
      <c r="K185" s="7" t="inlineStr">
        <is>
          <t>2026-10-14</t>
        </is>
      </c>
      <c r="L185" s="7" t="inlineStr">
        <is>
          <t>Suite automatizada</t>
        </is>
      </c>
    </row>
    <row r="186">
      <c r="A186" s="7" t="inlineStr">
        <is>
          <t>TA-185</t>
        </is>
      </c>
      <c r="B186" s="7" t="inlineStr">
        <is>
          <t>Sprint 1-2</t>
        </is>
      </c>
      <c r="C186" s="7" t="inlineStr">
        <is>
          <t>Pruebas automatizadas — Historia de vida (EP-02)</t>
        </is>
      </c>
      <c r="D186" s="7" t="inlineStr">
        <is>
          <t>Validar que una etapa inexistente sea rechazada</t>
        </is>
      </c>
      <c r="E186" s="7" t="inlineStr">
        <is>
          <t>Un nombre de etapa inválido se rechaza (400).</t>
        </is>
      </c>
      <c r="F186" s="7" t="inlineStr">
        <is>
          <t>Usuario Referente. Existe una persona.</t>
        </is>
      </c>
      <c r="G186" s="7" t="inlineStr">
        <is>
          <t>EP-02</t>
        </is>
      </c>
      <c r="H186" s="7" t="inlineStr">
        <is>
          <t>1. Enviar PUT /api/persons/{id}/life-story/etapa-inventada  →  La API responde 400 Bad Request</t>
        </is>
      </c>
      <c r="I186" s="7" t="inlineStr">
        <is>
          <t>Vicaria.IntegrationTests › LifeStoriesEndpointTests › PutStage_EtapaInvalida_Devuelve400</t>
        </is>
      </c>
      <c r="J186" s="7" t="inlineStr">
        <is>
          <t>OK</t>
        </is>
      </c>
      <c r="K186" s="7" t="inlineStr">
        <is>
          <t>2026-10-14</t>
        </is>
      </c>
      <c r="L186" s="7" t="inlineStr">
        <is>
          <t>Suite automatizada</t>
        </is>
      </c>
    </row>
    <row r="187">
      <c r="A187" s="7" t="inlineStr">
        <is>
          <t>TA-186</t>
        </is>
      </c>
      <c r="B187" s="7" t="inlineStr">
        <is>
          <t>Sprint 1-2</t>
        </is>
      </c>
      <c r="C187" s="7" t="inlineStr">
        <is>
          <t>Pruebas automatizadas — Historia de vida (EP-02)</t>
        </is>
      </c>
      <c r="D187" s="7" t="inlineStr">
        <is>
          <t>Validar que un contenido vacío sea rechazado</t>
        </is>
      </c>
      <c r="E187" s="7" t="inlineStr">
        <is>
          <t>Contenido vacío se rechaza (400).</t>
        </is>
      </c>
      <c r="F187" s="7" t="inlineStr">
        <is>
          <t>Usuario Referente. Existe una persona.</t>
        </is>
      </c>
      <c r="G187" s="7" t="inlineStr">
        <is>
          <t>EP-02</t>
        </is>
      </c>
      <c r="H187" s="7" t="inlineStr">
        <is>
          <t>1. Enviar PUT …/life-story/before-hogar con el contenido en blanco  →  La API responde 400 Bad Request</t>
        </is>
      </c>
      <c r="I187" s="7" t="inlineStr">
        <is>
          <t>Vicaria.IntegrationTests › LifeStoriesEndpointTests › PutStage_ContentVacio_Devuelve400</t>
        </is>
      </c>
      <c r="J187" s="7" t="inlineStr">
        <is>
          <t>OK</t>
        </is>
      </c>
      <c r="K187" s="7" t="inlineStr">
        <is>
          <t>2026-10-14</t>
        </is>
      </c>
      <c r="L187" s="7" t="inlineStr">
        <is>
          <t>Suite automatizada</t>
        </is>
      </c>
    </row>
    <row r="188">
      <c r="A188" s="7" t="inlineStr">
        <is>
          <t>TA-187</t>
        </is>
      </c>
      <c r="B188" s="7" t="inlineStr">
        <is>
          <t>Sprint 1-2</t>
        </is>
      </c>
      <c r="C188" s="7" t="inlineStr">
        <is>
          <t>Pruebas automatizadas — Historia de vida (EP-02)</t>
        </is>
      </c>
      <c r="D188" s="7" t="inlineStr">
        <is>
          <t>Validar que guardar la historia de una persona inexistente devuelva 404</t>
        </is>
      </c>
      <c r="E188" s="7" t="inlineStr">
        <is>
          <t>Persona inexistente devuelve 404.</t>
        </is>
      </c>
      <c r="F188" s="7" t="inlineStr">
        <is>
          <t>Usuario Referente.</t>
        </is>
      </c>
      <c r="G188" s="7" t="inlineStr">
        <is>
          <t>EP-02</t>
        </is>
      </c>
      <c r="H188" s="7" t="inlineStr">
        <is>
          <t>1. Enviar PUT …/life-story/before-hogar con un id inexistente  →  La API responde 404 Not Found</t>
        </is>
      </c>
      <c r="I188" s="7" t="inlineStr">
        <is>
          <t>Vicaria.IntegrationTests › LifeStoriesEndpointTests › PutStage_PersonaInexistente_Devuelve404</t>
        </is>
      </c>
      <c r="J188" s="7" t="inlineStr">
        <is>
          <t>OK</t>
        </is>
      </c>
      <c r="K188" s="7" t="inlineStr">
        <is>
          <t>2026-10-14</t>
        </is>
      </c>
      <c r="L188" s="7" t="inlineStr">
        <is>
          <t>Suite automatizada</t>
        </is>
      </c>
    </row>
    <row r="189">
      <c r="A189" s="7" t="inlineStr">
        <is>
          <t>TA-188</t>
        </is>
      </c>
      <c r="B189" s="7" t="inlineStr">
        <is>
          <t>Sprint 1-2</t>
        </is>
      </c>
      <c r="C189" s="7" t="inlineStr">
        <is>
          <t>Pruebas automatizadas — Historia de vida (EP-02)</t>
        </is>
      </c>
      <c r="D189" s="7" t="inlineStr">
        <is>
          <t>Validar que el rol Escucha no pueda editar la historia de vida</t>
        </is>
      </c>
      <c r="E189" s="7" t="inlineStr">
        <is>
          <t>Escucha no puede guardar una etapa (403).</t>
        </is>
      </c>
      <c r="F189" s="7" t="inlineStr">
        <is>
          <t>Existe una persona. Usuario con rol Escucha.</t>
        </is>
      </c>
      <c r="G189" s="7" t="inlineStr">
        <is>
          <t>SCRUM-13, SCRUM-64</t>
        </is>
      </c>
      <c r="H189" s="7" t="inlineStr">
        <is>
          <t>1. Enviar PUT …/life-story/before-hogar con el token del rol Escucha  →  La API responde 403 Forbidden</t>
        </is>
      </c>
      <c r="I189" s="7" t="inlineStr">
        <is>
          <t>Vicaria.IntegrationTests › LifeStoriesEndpointTests › PutStage_ComoEscucha_Devuelve403</t>
        </is>
      </c>
      <c r="J189" s="7" t="inlineStr">
        <is>
          <t>OK</t>
        </is>
      </c>
      <c r="K189" s="7" t="inlineStr">
        <is>
          <t>2026-10-14</t>
        </is>
      </c>
      <c r="L189" s="7" t="inlineStr">
        <is>
          <t>Suite automatizada</t>
        </is>
      </c>
    </row>
    <row r="190">
      <c r="A190" s="7" t="inlineStr">
        <is>
          <t>TA-189</t>
        </is>
      </c>
      <c r="B190" s="7" t="inlineStr">
        <is>
          <t>Sprint 1-2</t>
        </is>
      </c>
      <c r="C190" s="7" t="inlineStr">
        <is>
          <t>Pruebas automatizadas — Historia de vida (EP-02)</t>
        </is>
      </c>
      <c r="D190" s="7" t="inlineStr">
        <is>
          <t>Validar que guardar la historia sin token no esté autorizado</t>
        </is>
      </c>
      <c r="E190" s="7" t="inlineStr">
        <is>
          <t>Sin token no autoriza (401).</t>
        </is>
      </c>
      <c r="F190" s="7" t="inlineStr">
        <is>
          <t>El cliente no envía token.</t>
        </is>
      </c>
      <c r="G190" s="7" t="inlineStr">
        <is>
          <t>EP-02</t>
        </is>
      </c>
      <c r="H190" s="7" t="inlineStr">
        <is>
          <t>1. Enviar PUT …/life-story/before-hogar sin autenticación  →  La API responde 401 Unauthorized</t>
        </is>
      </c>
      <c r="I190" s="7" t="inlineStr">
        <is>
          <t>Vicaria.IntegrationTests › LifeStoriesEndpointTests › PutStage_SinToken_Devuelve401</t>
        </is>
      </c>
      <c r="J190" s="7" t="inlineStr">
        <is>
          <t>OK</t>
        </is>
      </c>
      <c r="K190" s="7" t="inlineStr">
        <is>
          <t>2026-10-14</t>
        </is>
      </c>
      <c r="L190" s="7" t="inlineStr">
        <is>
          <t>Suite automatizada</t>
        </is>
      </c>
    </row>
    <row r="191">
      <c r="A191" s="7" t="inlineStr">
        <is>
          <t>TA-190</t>
        </is>
      </c>
      <c r="B191" s="7" t="inlineStr">
        <is>
          <t>Sprint 1-2</t>
        </is>
      </c>
      <c r="C191" s="7" t="inlineStr">
        <is>
          <t>Pruebas automatizadas — Historia de vida (EP-02)</t>
        </is>
      </c>
      <c r="D191" s="7" t="inlineStr">
        <is>
          <t>Validar que un Referente pueda consultar la historia de vida</t>
        </is>
      </c>
      <c r="E191" s="7" t="inlineStr">
        <is>
          <t>Consultar la historia de vida devuelve 200.</t>
        </is>
      </c>
      <c r="F191" s="7" t="inlineStr">
        <is>
          <t>Usuario Referente. Existe una persona.</t>
        </is>
      </c>
      <c r="G191" s="7" t="inlineStr">
        <is>
          <t>EP-02</t>
        </is>
      </c>
      <c r="H191" s="7" t="inlineStr">
        <is>
          <t>1. Enviar GET /api/persons/{id}/life-story  →  La API responde 200 OK</t>
        </is>
      </c>
      <c r="I191" s="7" t="inlineStr">
        <is>
          <t>Vicaria.IntegrationTests › LifeStoriesEndpointTests › Get_ComoReferente_Devuelve200</t>
        </is>
      </c>
      <c r="J191" s="7" t="inlineStr">
        <is>
          <t>OK</t>
        </is>
      </c>
      <c r="K191" s="7" t="inlineStr">
        <is>
          <t>2026-10-14</t>
        </is>
      </c>
      <c r="L191" s="7" t="inlineStr">
        <is>
          <t>Suite automatizada</t>
        </is>
      </c>
    </row>
    <row r="192">
      <c r="A192" s="7" t="inlineStr">
        <is>
          <t>TA-191</t>
        </is>
      </c>
      <c r="B192" s="7" t="inlineStr">
        <is>
          <t>Sprint 1-2</t>
        </is>
      </c>
      <c r="C192" s="7" t="inlineStr">
        <is>
          <t>Pruebas automatizadas — Casa de Convivencia: estadías y egresos (EP-12)</t>
        </is>
      </c>
      <c r="D192" s="7" t="inlineStr">
        <is>
          <t>Validar que el egreso registre la fecha automáticamente</t>
        </is>
      </c>
      <c r="E192" s="7" t="inlineStr">
        <is>
          <t>Egresar una estadía activa registra la fecha automáticamente.</t>
        </is>
      </c>
      <c r="F192" s="7" t="inlineStr">
        <is>
          <t>Existe una estadía activa (sin egreso).</t>
        </is>
      </c>
      <c r="G192" s="7" t="inlineStr">
        <is>
          <t>EP-12</t>
        </is>
      </c>
      <c r="H192" s="7" t="inlineStr">
        <is>
          <t>1. Registrar el egreso sin indicar motivo  →  La operación es exitosa
2. Consultar la estadía  →  Tiene fecha de egreso, igual o posterior al momento de la operación</t>
        </is>
      </c>
      <c r="I192" s="7" t="inlineStr">
        <is>
          <t>Vicaria.UnitTests › CasaConvivenciaStayServiceTests › ExitAsync_ConEstadiaActiva_RegistraEgresoConFechaAutomatica</t>
        </is>
      </c>
      <c r="J192" s="7" t="inlineStr">
        <is>
          <t>OK</t>
        </is>
      </c>
      <c r="K192" s="7" t="inlineStr">
        <is>
          <t>2026-10-14</t>
        </is>
      </c>
      <c r="L192" s="7" t="inlineStr">
        <is>
          <t>Suite automatizada</t>
        </is>
      </c>
    </row>
    <row r="193">
      <c r="A193" s="7" t="inlineStr">
        <is>
          <t>TA-192</t>
        </is>
      </c>
      <c r="B193" s="7" t="inlineStr">
        <is>
          <t>Sprint 1-2</t>
        </is>
      </c>
      <c r="C193" s="7" t="inlineStr">
        <is>
          <t>Pruebas automatizadas — Casa de Convivencia: estadías y egresos (EP-12)</t>
        </is>
      </c>
      <c r="D193" s="7" t="inlineStr">
        <is>
          <t>Validar que el egreso con motivo "Otro" guarde el motivo y el texto libre</t>
        </is>
      </c>
      <c r="E193" s="7" t="inlineStr">
        <is>
          <t>Motivo \"Otro\" con texto libre guarda ambos.</t>
        </is>
      </c>
      <c r="F193" s="7" t="inlineStr">
        <is>
          <t>Existe una estadía activa.</t>
        </is>
      </c>
      <c r="G193" s="7" t="inlineStr">
        <is>
          <t>EP-12</t>
        </is>
      </c>
      <c r="H193" s="7" t="inlineStr">
        <is>
          <t>1. Registrar el egreso con motivo Otro y un texto  →  La operación es exitosa
2. Consultar la estadía  →  Se guardan el motivo y el texto</t>
        </is>
      </c>
      <c r="I193" s="7" t="inlineStr">
        <is>
          <t>Vicaria.UnitTests › CasaConvivenciaStayServiceTests › ExitAsync_ConMotivoOtroYTexto_GuardaAmbos</t>
        </is>
      </c>
      <c r="J193" s="7" t="inlineStr">
        <is>
          <t>OK</t>
        </is>
      </c>
      <c r="K193" s="7" t="inlineStr">
        <is>
          <t>2026-10-14</t>
        </is>
      </c>
      <c r="L193" s="7" t="inlineStr">
        <is>
          <t>Suite automatizada</t>
        </is>
      </c>
    </row>
    <row r="194">
      <c r="A194" s="7" t="inlineStr">
        <is>
          <t>TA-193</t>
        </is>
      </c>
      <c r="B194" s="7" t="inlineStr">
        <is>
          <t>Sprint 1-2</t>
        </is>
      </c>
      <c r="C194" s="7" t="inlineStr">
        <is>
          <t>Pruebas automatizadas — Casa de Convivencia: estadías y egresos (EP-12)</t>
        </is>
      </c>
      <c r="D194" s="7" t="inlineStr">
        <is>
          <t>Validar que un motivo específico con texto guarde ambos</t>
        </is>
      </c>
      <c r="E194" s="7" t="inlineStr">
        <is>
          <t>Un motivo específico con texto libre guarda ambos.</t>
        </is>
      </c>
      <c r="F194" s="7" t="inlineStr">
        <is>
          <t>Existe una estadía activa.</t>
        </is>
      </c>
      <c r="G194" s="7" t="inlineStr">
        <is>
          <t>EP-12</t>
        </is>
      </c>
      <c r="H194" s="7" t="inlineStr">
        <is>
          <t>1. Registrar el egreso con motivo Abandono y texto  →  La operación es exitosa
2. Consultar la estadía  →  Se guardan el motivo Abandono y el texto "No volvió"</t>
        </is>
      </c>
      <c r="I194" s="7" t="inlineStr">
        <is>
          <t>Vicaria.UnitTests › CasaConvivenciaStayServiceTests › ExitAsync_ConMotivoEspecificoYTexto_GuardaExitReasonYTambienTexto</t>
        </is>
      </c>
      <c r="J194" s="7" t="inlineStr">
        <is>
          <t>OK</t>
        </is>
      </c>
      <c r="K194" s="7" t="inlineStr">
        <is>
          <t>2026-10-14</t>
        </is>
      </c>
      <c r="L194" s="7" t="inlineStr">
        <is>
          <t>Suite automatizada</t>
        </is>
      </c>
    </row>
    <row r="195">
      <c r="A195" s="7" t="inlineStr">
        <is>
          <t>TA-194</t>
        </is>
      </c>
      <c r="B195" s="7" t="inlineStr">
        <is>
          <t>Sprint 1-2</t>
        </is>
      </c>
      <c r="C195" s="7" t="inlineStr">
        <is>
          <t>Pruebas automatizadas — Casa de Convivencia: estadías y egresos (EP-12)</t>
        </is>
      </c>
      <c r="D195" s="7" t="inlineStr">
        <is>
          <t>Validar que el egreso sin motivo guarde null en motivo y texto</t>
        </is>
      </c>
      <c r="E195" s="7" t="inlineStr">
        <is>
          <t>Egresar sin motivo guarda ambos campos en null.</t>
        </is>
      </c>
      <c r="F195" s="7" t="inlineStr">
        <is>
          <t>Existe una estadía activa.</t>
        </is>
      </c>
      <c r="G195" s="7" t="inlineStr">
        <is>
          <t>EP-12</t>
        </is>
      </c>
      <c r="H195" s="7" t="inlineStr">
        <is>
          <t>1. Registrar el egreso sin motivo ni texto  →  La operación es exitosa
2. Consultar la estadía  →  Motivo y texto quedan en null</t>
        </is>
      </c>
      <c r="I195" s="7" t="inlineStr">
        <is>
          <t>Vicaria.UnitTests › CasaConvivenciaStayServiceTests › ExitAsync_SinMotivo_GuardaNullEnExitReasonYReason</t>
        </is>
      </c>
      <c r="J195" s="7" t="inlineStr">
        <is>
          <t>OK</t>
        </is>
      </c>
      <c r="K195" s="7" t="inlineStr">
        <is>
          <t>2026-10-14</t>
        </is>
      </c>
      <c r="L195" s="7" t="inlineStr">
        <is>
          <t>Suite automatizada</t>
        </is>
      </c>
    </row>
    <row r="196">
      <c r="A196" s="7" t="inlineStr">
        <is>
          <t>TA-195</t>
        </is>
      </c>
      <c r="B196" s="7" t="inlineStr">
        <is>
          <t>Sprint 1-2</t>
        </is>
      </c>
      <c r="C196" s="7" t="inlineStr">
        <is>
          <t>Pruebas automatizadas — Casa de Convivencia: estadías y egresos (EP-12)</t>
        </is>
      </c>
      <c r="D196" s="7" t="inlineStr">
        <is>
          <t>Validar que egresar una estadía inexistente devuelva StayNotFound</t>
        </is>
      </c>
      <c r="E196" s="7" t="inlineStr">
        <is>
          <t>Egresar una estadía inexistente devuelve el error correspondiente.</t>
        </is>
      </c>
      <c r="F196" s="7" t="inlineStr">
        <is>
          <t>No existe la estadía indicada.</t>
        </is>
      </c>
      <c r="G196" s="7" t="inlineStr">
        <is>
          <t>EP-12</t>
        </is>
      </c>
      <c r="H196" s="7" t="inlineStr">
        <is>
          <t>1. Registrar el egreso de un id inexistente  →  La operación no es exitosa y devuelve StayNotFound</t>
        </is>
      </c>
      <c r="I196" s="7" t="inlineStr">
        <is>
          <t>Vicaria.UnitTests › CasaConvivenciaStayServiceTests › ExitAsync_ConEstadiaInexistente_DevuelveStayNotFound</t>
        </is>
      </c>
      <c r="J196" s="7" t="inlineStr">
        <is>
          <t>OK</t>
        </is>
      </c>
      <c r="K196" s="7" t="inlineStr">
        <is>
          <t>2026-10-14</t>
        </is>
      </c>
      <c r="L196" s="7" t="inlineStr">
        <is>
          <t>Suite automatizada</t>
        </is>
      </c>
    </row>
    <row r="197">
      <c r="A197" s="7" t="inlineStr">
        <is>
          <t>TA-196</t>
        </is>
      </c>
      <c r="B197" s="7" t="inlineStr">
        <is>
          <t>Sprint 1-2</t>
        </is>
      </c>
      <c r="C197" s="7" t="inlineStr">
        <is>
          <t>Pruebas automatizadas — Casa de Convivencia: estadías y egresos (EP-12)</t>
        </is>
      </c>
      <c r="D197" s="7" t="inlineStr">
        <is>
          <t>Validar que no se pueda egresar dos veces una estadía</t>
        </is>
      </c>
      <c r="E197" s="7" t="inlineStr">
        <is>
          <t>Egresar una estadía ya egresada devuelve el error correspondiente.</t>
        </is>
      </c>
      <c r="F197" s="7" t="inlineStr">
        <is>
          <t>Existe una estadía con egreso ya registrado.</t>
        </is>
      </c>
      <c r="G197" s="7" t="inlineStr">
        <is>
          <t>EP-12</t>
        </is>
      </c>
      <c r="H197" s="7" t="inlineStr">
        <is>
          <t>1. Registrar nuevamente el egreso  →  La operación no es exitosa y devuelve AlreadyExited</t>
        </is>
      </c>
      <c r="I197" s="7" t="inlineStr">
        <is>
          <t>Vicaria.UnitTests › CasaConvivenciaStayServiceTests › ExitAsync_ConEstadiaYaEgresada_DevuelveAlreadyExited</t>
        </is>
      </c>
      <c r="J197" s="7" t="inlineStr">
        <is>
          <t>OK</t>
        </is>
      </c>
      <c r="K197" s="7" t="inlineStr">
        <is>
          <t>2026-10-14</t>
        </is>
      </c>
      <c r="L197" s="7" t="inlineStr">
        <is>
          <t>Suite automatizada</t>
        </is>
      </c>
    </row>
    <row r="198">
      <c r="A198" s="7" t="inlineStr">
        <is>
          <t>TA-197</t>
        </is>
      </c>
      <c r="B198" s="7" t="inlineStr">
        <is>
          <t>Sprint 1-2</t>
        </is>
      </c>
      <c r="C198" s="7" t="inlineStr">
        <is>
          <t>Pruebas automatizadas — Casa de Convivencia: estadías y egresos (EP-12)</t>
        </is>
      </c>
      <c r="D198" s="7" t="inlineStr">
        <is>
          <t>Validar que el egreso deje auditoría con el actor</t>
        </is>
      </c>
      <c r="E198" s="7" t="inlineStr">
        <is>
          <t>Egresar deja un AuditLog con el actor.</t>
        </is>
      </c>
      <c r="F198" s="7" t="inlineStr">
        <is>
          <t>Existe una estadía activa.</t>
        </is>
      </c>
      <c r="G198" s="7" t="inlineStr">
        <is>
          <t>EP-12</t>
        </is>
      </c>
      <c r="H198" s="7" t="inlineStr">
        <is>
          <t>1. Registrar el egreso indicando el actor  →  La operación es exitosa
2. Revisar la auditoría  →  Hay un AuditLog del egreso con el actor</t>
        </is>
      </c>
      <c r="I198" s="7" t="inlineStr">
        <is>
          <t>Vicaria.UnitTests › CasaConvivenciaStayServiceTests › ExitAsync_RegistraAuditLogConElActor</t>
        </is>
      </c>
      <c r="J198" s="7" t="inlineStr">
        <is>
          <t>OK</t>
        </is>
      </c>
      <c r="K198" s="7" t="inlineStr">
        <is>
          <t>2026-10-14</t>
        </is>
      </c>
      <c r="L198" s="7" t="inlineStr">
        <is>
          <t>Suite automatizada</t>
        </is>
      </c>
    </row>
    <row r="199">
      <c r="A199" s="7" t="inlineStr">
        <is>
          <t>TA-198</t>
        </is>
      </c>
      <c r="B199" s="7" t="inlineStr">
        <is>
          <t>Sprint 1-2</t>
        </is>
      </c>
      <c r="C199" s="7" t="inlineStr">
        <is>
          <t>Pruebas automatizadas — Casa de Convivencia: estadías y egresos (EP-12)</t>
        </is>
      </c>
      <c r="D199" s="7" t="inlineStr">
        <is>
          <t>Validar que la API acepte el egreso con motivo</t>
        </is>
      </c>
      <c r="E199" s="7" t="inlineStr">
        <is>
          <t>Egresar con motivo confirma la operación (204).</t>
        </is>
      </c>
      <c r="F199" s="7" t="inlineStr">
        <is>
          <t>Existe una estadía activa. Usuario Referente.</t>
        </is>
      </c>
      <c r="G199" s="7" t="inlineStr">
        <is>
          <t>EP-12</t>
        </is>
      </c>
      <c r="H199" s="7" t="inlineStr">
        <is>
          <t>1. Enviar PUT /api/casa-convivencia-stays/{id}/egreso con un motivo  →  La API responde 204 No Content</t>
        </is>
      </c>
      <c r="I199" s="7" t="inlineStr">
        <is>
          <t>Vicaria.IntegrationTests › CasaConvivenciaStayEndpointTests › Exit_ConEstadiaActivaYMotivo_Devuelve204</t>
        </is>
      </c>
      <c r="J199" s="7" t="inlineStr">
        <is>
          <t>OK</t>
        </is>
      </c>
      <c r="K199" s="7" t="inlineStr">
        <is>
          <t>2026-10-14</t>
        </is>
      </c>
      <c r="L199" s="7" t="inlineStr">
        <is>
          <t>Suite automatizada</t>
        </is>
      </c>
    </row>
    <row r="200">
      <c r="A200" s="7" t="inlineStr">
        <is>
          <t>TA-199</t>
        </is>
      </c>
      <c r="B200" s="7" t="inlineStr">
        <is>
          <t>Sprint 1-2</t>
        </is>
      </c>
      <c r="C200" s="7" t="inlineStr">
        <is>
          <t>Pruebas automatizadas — Casa de Convivencia: estadías y egresos (EP-12)</t>
        </is>
      </c>
      <c r="D200" s="7" t="inlineStr">
        <is>
          <t>Validar que la API acepte el egreso sin motivo</t>
        </is>
      </c>
      <c r="E200" s="7" t="inlineStr">
        <is>
          <t>Egresar sin motivo confirma la operación (204).</t>
        </is>
      </c>
      <c r="F200" s="7" t="inlineStr">
        <is>
          <t>Existe una estadía activa. Usuario Referente.</t>
        </is>
      </c>
      <c r="G200" s="7" t="inlineStr">
        <is>
          <t>EP-12</t>
        </is>
      </c>
      <c r="H200" s="7" t="inlineStr">
        <is>
          <t>1. Enviar PUT …/egreso sin motivo  →  La API responde 204 No Content</t>
        </is>
      </c>
      <c r="I200" s="7" t="inlineStr">
        <is>
          <t>Vicaria.IntegrationTests › CasaConvivenciaStayEndpointTests › Exit_SinMotivo_Devuelve204</t>
        </is>
      </c>
      <c r="J200" s="7" t="inlineStr">
        <is>
          <t>OK</t>
        </is>
      </c>
      <c r="K200" s="7" t="inlineStr">
        <is>
          <t>2026-10-14</t>
        </is>
      </c>
      <c r="L200" s="7" t="inlineStr">
        <is>
          <t>Suite automatizada</t>
        </is>
      </c>
    </row>
    <row r="201">
      <c r="A201" s="7" t="inlineStr">
        <is>
          <t>TA-200</t>
        </is>
      </c>
      <c r="B201" s="7" t="inlineStr">
        <is>
          <t>Sprint 1-2</t>
        </is>
      </c>
      <c r="C201" s="7" t="inlineStr">
        <is>
          <t>Pruebas automatizadas — Casa de Convivencia: estadías y egresos (EP-12)</t>
        </is>
      </c>
      <c r="D201" s="7" t="inlineStr">
        <is>
          <t>Validar que la API acepte el motivo "Otro" con texto libre</t>
        </is>
      </c>
      <c r="E201" s="7" t="inlineStr">
        <is>
          <t>Motivo \"Otro\" con texto libre confirma la operación (204).</t>
        </is>
      </c>
      <c r="F201" s="7" t="inlineStr">
        <is>
          <t>Existe una estadía activa. Usuario Referente.</t>
        </is>
      </c>
      <c r="G201" s="7" t="inlineStr">
        <is>
          <t>EP-12</t>
        </is>
      </c>
      <c r="H201" s="7" t="inlineStr">
        <is>
          <t>1. Enviar PUT …/egreso con motivo Otro y texto  →  La API responde 204 No Content</t>
        </is>
      </c>
      <c r="I201" s="7" t="inlineStr">
        <is>
          <t>Vicaria.IntegrationTests › CasaConvivenciaStayEndpointTests › Exit_ConMotivoOtroYTexto_Devuelve204</t>
        </is>
      </c>
      <c r="J201" s="7" t="inlineStr">
        <is>
          <t>OK</t>
        </is>
      </c>
      <c r="K201" s="7" t="inlineStr">
        <is>
          <t>2026-10-14</t>
        </is>
      </c>
      <c r="L201" s="7" t="inlineStr">
        <is>
          <t>Suite automatizada</t>
        </is>
      </c>
    </row>
    <row r="202">
      <c r="A202" s="7" t="inlineStr">
        <is>
          <t>TA-201</t>
        </is>
      </c>
      <c r="B202" s="7" t="inlineStr">
        <is>
          <t>Sprint 1-2</t>
        </is>
      </c>
      <c r="C202" s="7" t="inlineStr">
        <is>
          <t>Pruebas automatizadas — Casa de Convivencia: estadías y egresos (EP-12)</t>
        </is>
      </c>
      <c r="D202" s="7" t="inlineStr">
        <is>
          <t>Validar que el motivo "Otro" sin texto sea rechazado</t>
        </is>
      </c>
      <c r="E202" s="7" t="inlineStr">
        <is>
          <t>Motivo \"Otro\" sin texto libre se rechaza (400).</t>
        </is>
      </c>
      <c r="F202" s="7" t="inlineStr">
        <is>
          <t>Existe una estadía activa. Usuario Referente.</t>
        </is>
      </c>
      <c r="G202" s="7" t="inlineStr">
        <is>
          <t>EP-12</t>
        </is>
      </c>
      <c r="H202" s="7" t="inlineStr">
        <is>
          <t>1. Enviar PUT …/egreso con motivo Otro y sin texto  →  La API responde 400 Bad Request</t>
        </is>
      </c>
      <c r="I202" s="7" t="inlineStr">
        <is>
          <t>Vicaria.IntegrationTests › CasaConvivenciaStayEndpointTests › Exit_ConMotivoOtroSinTexto_Devuelve400</t>
        </is>
      </c>
      <c r="J202" s="7" t="inlineStr">
        <is>
          <t>OK</t>
        </is>
      </c>
      <c r="K202" s="7" t="inlineStr">
        <is>
          <t>2026-10-14</t>
        </is>
      </c>
      <c r="L202" s="7" t="inlineStr">
        <is>
          <t>Suite automatizada</t>
        </is>
      </c>
    </row>
    <row r="203">
      <c r="A203" s="7" t="inlineStr">
        <is>
          <t>TA-202</t>
        </is>
      </c>
      <c r="B203" s="7" t="inlineStr">
        <is>
          <t>Sprint 1-2</t>
        </is>
      </c>
      <c r="C203" s="7" t="inlineStr">
        <is>
          <t>Pruebas automatizadas — Casa de Convivencia: estadías y egresos (EP-12)</t>
        </is>
      </c>
      <c r="D203" s="7" t="inlineStr">
        <is>
          <t>Validar que egresar una estadía inexistente devuelva 404</t>
        </is>
      </c>
      <c r="E203" s="7" t="inlineStr">
        <is>
          <t>Estadía inexistente devuelve 404.</t>
        </is>
      </c>
      <c r="F203" s="7" t="inlineStr">
        <is>
          <t>Usuario Referente.</t>
        </is>
      </c>
      <c r="G203" s="7" t="inlineStr">
        <is>
          <t>EP-12</t>
        </is>
      </c>
      <c r="H203" s="7" t="inlineStr">
        <is>
          <t>1. Enviar PUT …/egreso con un id inexistente  →  La API responde 404 Not Found</t>
        </is>
      </c>
      <c r="I203" s="7" t="inlineStr">
        <is>
          <t>Vicaria.IntegrationTests › CasaConvivenciaStayEndpointTests › Exit_ConEstadiaInexistente_Devuelve404</t>
        </is>
      </c>
      <c r="J203" s="7" t="inlineStr">
        <is>
          <t>OK</t>
        </is>
      </c>
      <c r="K203" s="7" t="inlineStr">
        <is>
          <t>2026-10-14</t>
        </is>
      </c>
      <c r="L203" s="7" t="inlineStr">
        <is>
          <t>Suite automatizada</t>
        </is>
      </c>
    </row>
    <row r="204">
      <c r="A204" s="7" t="inlineStr">
        <is>
          <t>TA-203</t>
        </is>
      </c>
      <c r="B204" s="7" t="inlineStr">
        <is>
          <t>Sprint 1-2</t>
        </is>
      </c>
      <c r="C204" s="7" t="inlineStr">
        <is>
          <t>Pruebas automatizadas — Casa de Convivencia: estadías y egresos (EP-12)</t>
        </is>
      </c>
      <c r="D204" s="7" t="inlineStr">
        <is>
          <t>Validar que egresar una estadía ya egresada devuelva 400</t>
        </is>
      </c>
      <c r="E204" s="7" t="inlineStr">
        <is>
          <t>Una estadía ya egresada se rechaza (400).</t>
        </is>
      </c>
      <c r="F204" s="7" t="inlineStr">
        <is>
          <t>Existe una estadía activa. Usuario Referente.</t>
        </is>
      </c>
      <c r="G204" s="7" t="inlineStr">
        <is>
          <t>EP-12</t>
        </is>
      </c>
      <c r="H204" s="7" t="inlineStr">
        <is>
          <t>1. Registrar el egreso  →  Primer egreso exitoso
2. Registrar el egreso otra vez  →  La API responde 400 Bad Request</t>
        </is>
      </c>
      <c r="I204" s="7" t="inlineStr">
        <is>
          <t>Vicaria.IntegrationTests › CasaConvivenciaStayEndpointTests › Exit_ConEstadiaYaEgresada_Devuelve400</t>
        </is>
      </c>
      <c r="J204" s="7" t="inlineStr">
        <is>
          <t>OK</t>
        </is>
      </c>
      <c r="K204" s="7" t="inlineStr">
        <is>
          <t>2026-10-14</t>
        </is>
      </c>
      <c r="L204" s="7" t="inlineStr">
        <is>
          <t>Suite automatizada</t>
        </is>
      </c>
    </row>
    <row r="205">
      <c r="A205" s="7" t="inlineStr">
        <is>
          <t>TA-204</t>
        </is>
      </c>
      <c r="B205" s="7" t="inlineStr">
        <is>
          <t>Sprint 1-2</t>
        </is>
      </c>
      <c r="C205" s="7" t="inlineStr">
        <is>
          <t>Pruebas automatizadas — Casa de Convivencia: estadías y egresos (EP-12)</t>
        </is>
      </c>
      <c r="D205" s="7" t="inlineStr">
        <is>
          <t>Validar que el egreso por API deje auditoría con el actor</t>
        </is>
      </c>
      <c r="E205" s="7" t="inlineStr">
        <is>
          <t>Egresar deja un AuditLog con el actor.</t>
        </is>
      </c>
      <c r="F205" s="7" t="inlineStr">
        <is>
          <t>Existe una estadía activa. Usuario Referente.</t>
        </is>
      </c>
      <c r="G205" s="7" t="inlineStr">
        <is>
          <t>EP-12</t>
        </is>
      </c>
      <c r="H205" s="7" t="inlineStr">
        <is>
          <t>1. Enviar PUT …/egreso  →  La API responde 204
2. Revisar la auditoría  →  Hay un AuditLog del egreso con el actor</t>
        </is>
      </c>
      <c r="I205" s="7" t="inlineStr">
        <is>
          <t>Vicaria.IntegrationTests › CasaConvivenciaStayEndpointTests › Exit_ConEstadiaActiva_RegistraAuditLogConElActor</t>
        </is>
      </c>
      <c r="J205" s="7" t="inlineStr">
        <is>
          <t>OK</t>
        </is>
      </c>
      <c r="K205" s="7" t="inlineStr">
        <is>
          <t>2026-10-14</t>
        </is>
      </c>
      <c r="L205" s="7" t="inlineStr">
        <is>
          <t>Suite automatizada</t>
        </is>
      </c>
    </row>
    <row r="206">
      <c r="A206" s="7" t="inlineStr">
        <is>
          <t>TA-205</t>
        </is>
      </c>
      <c r="B206" s="7" t="inlineStr">
        <is>
          <t>Sprint 1-2</t>
        </is>
      </c>
      <c r="C206" s="7" t="inlineStr">
        <is>
          <t>Pruebas automatizadas — Casa de Convivencia: estadías y egresos (EP-12)</t>
        </is>
      </c>
      <c r="D206" s="7" t="inlineStr">
        <is>
          <t>Validar que el rol Escucha no pueda registrar egresos</t>
        </is>
      </c>
      <c r="E206" s="7" t="inlineStr">
        <is>
          <t>Escucha no puede registrar egresos (403).</t>
        </is>
      </c>
      <c r="F206" s="7" t="inlineStr">
        <is>
          <t>Existe una estadía activa. Usuario con rol Escucha.</t>
        </is>
      </c>
      <c r="G206" s="7" t="inlineStr">
        <is>
          <t>SCRUM-13, SCRUM-64</t>
        </is>
      </c>
      <c r="H206" s="7" t="inlineStr">
        <is>
          <t>1. Enviar PUT …/egreso con el token del rol Escucha  →  La API responde 403 Forbidden</t>
        </is>
      </c>
      <c r="I206" s="7" t="inlineStr">
        <is>
          <t>Vicaria.IntegrationTests › CasaConvivenciaStayEndpointTests › Exit_ComoEscucha_Devuelve403</t>
        </is>
      </c>
      <c r="J206" s="7" t="inlineStr">
        <is>
          <t>OK</t>
        </is>
      </c>
      <c r="K206" s="7" t="inlineStr">
        <is>
          <t>2026-10-14</t>
        </is>
      </c>
      <c r="L206" s="7" t="inlineStr">
        <is>
          <t>Suite automatizada</t>
        </is>
      </c>
    </row>
    <row r="207">
      <c r="A207" s="7" t="inlineStr">
        <is>
          <t>TA-206</t>
        </is>
      </c>
      <c r="B207" s="7" t="inlineStr">
        <is>
          <t>Sprint 1-2</t>
        </is>
      </c>
      <c r="C207" s="7" t="inlineStr">
        <is>
          <t>Pruebas automatizadas — Casa de Convivencia: estadías y egresos (EP-12)</t>
        </is>
      </c>
      <c r="D207" s="7" t="inlineStr">
        <is>
          <t>Validar que registrar un egreso sin token no esté autorizado</t>
        </is>
      </c>
      <c r="E207" s="7" t="inlineStr">
        <is>
          <t>Sin token no autoriza (401).</t>
        </is>
      </c>
      <c r="F207" s="7" t="inlineStr">
        <is>
          <t>El cliente no envía token.</t>
        </is>
      </c>
      <c r="G207" s="7" t="inlineStr">
        <is>
          <t>EP-12</t>
        </is>
      </c>
      <c r="H207" s="7" t="inlineStr">
        <is>
          <t>1. Enviar PUT …/egreso sin autenticación  →  La API responde 401 Unauthorized</t>
        </is>
      </c>
      <c r="I207" s="7" t="inlineStr">
        <is>
          <t>Vicaria.IntegrationTests › CasaConvivenciaStayEndpointTests › Exit_SinToken_Devuelve401</t>
        </is>
      </c>
      <c r="J207" s="7" t="inlineStr">
        <is>
          <t>OK</t>
        </is>
      </c>
      <c r="K207" s="7" t="inlineStr">
        <is>
          <t>2026-10-14</t>
        </is>
      </c>
      <c r="L207" s="7" t="inlineStr">
        <is>
          <t>Suite automatizada</t>
        </is>
      </c>
    </row>
    <row r="208">
      <c r="A208" s="7" t="inlineStr">
        <is>
          <t>TA-207</t>
        </is>
      </c>
      <c r="B208" s="7" t="inlineStr">
        <is>
          <t>Sprint 1-2</t>
        </is>
      </c>
      <c r="C208" s="7" t="inlineStr">
        <is>
          <t>Pruebas automatizadas — Casa de Convivencia: estadías y egresos (EP-12)</t>
        </is>
      </c>
      <c r="D208" s="7" t="inlineStr">
        <is>
          <t>Validar que el egreso pase a la persona a Ambulatorio con el estado elegido y genere auditoría</t>
        </is>
      </c>
      <c r="E208" s="7" t="inlineStr">
        <is>
          <t>El egreso actualiza el estado de la persona a Ambulatorio y genera las auditorías correspondientes.</t>
        </is>
      </c>
      <c r="F208" s="7" t="inlineStr">
        <is>
          <t>Persona Residente Activa con una estadía abierta. Usuario Referente.</t>
        </is>
      </c>
      <c r="G208" s="7" t="inlineStr">
        <is>
          <t>SCRUM-147</t>
        </is>
      </c>
      <c r="H208" s="7" t="inlineStr">
        <is>
          <t>1. Enviar PUT …/egreso indicando que la persona pasa a Ambulatorio Inactivo  →  La API responde 204
2. Consultar la ficha y la auditoría  →  La persona queda Ambulatoria Inactiva y se registran las auditorías del cambio</t>
        </is>
      </c>
      <c r="I208" s="7" t="inlineStr">
        <is>
          <t>Vicaria.IntegrationTests › CasaConvivenciaStayEndpointTests › Exit_ActualizaEstadoPersonAAmbulatorioYGeneraAuditorias_SCRUM147</t>
        </is>
      </c>
      <c r="J208" s="7" t="inlineStr">
        <is>
          <t>OK</t>
        </is>
      </c>
      <c r="K208" s="7" t="inlineStr">
        <is>
          <t>2026-10-14</t>
        </is>
      </c>
      <c r="L208" s="7" t="inlineStr">
        <is>
          <t>Suite automatizada</t>
        </is>
      </c>
    </row>
    <row r="209">
      <c r="A209" s="7" t="inlineStr">
        <is>
          <t>TA-208</t>
        </is>
      </c>
      <c r="B209" s="7" t="inlineStr">
        <is>
          <t>Sprint 1-2</t>
        </is>
      </c>
      <c r="C209" s="7" t="inlineStr">
        <is>
          <t>Pruebas automatizadas — Casa de Convivencia: estadías y egresos (EP-12)</t>
        </is>
      </c>
      <c r="D209" s="7" t="inlineStr">
        <is>
          <t>Validar que sin indicar estado la persona pase a Ambulatorio Activo por defecto</t>
        </is>
      </c>
      <c r="E209" s="7" t="inlineStr">
        <is>
          <t>Sin especificar el nuevo estado, pasa a Ambulatorio activo por defecto.</t>
        </is>
      </c>
      <c r="F209" s="7" t="inlineStr">
        <is>
          <t>Persona Residente con una estadía abierta. Usuario Referente.</t>
        </is>
      </c>
      <c r="G209" s="7" t="inlineStr">
        <is>
          <t>SCRUM-147</t>
        </is>
      </c>
      <c r="H209" s="7" t="inlineStr">
        <is>
          <t>1. Enviar PUT …/egreso sin indicar el nuevo estado  →  La API responde 204
2. Consultar la ficha  →  La persona queda como Ambulatorio Activo</t>
        </is>
      </c>
      <c r="I209" s="7" t="inlineStr">
        <is>
          <t>Vicaria.IntegrationTests › CasaConvivenciaStayEndpointTests › Exit_SinEspecificarNewStatus_PasaAAmbulatorioActivoPorDefecto_SCRUM147</t>
        </is>
      </c>
      <c r="J209" s="7" t="inlineStr">
        <is>
          <t>OK</t>
        </is>
      </c>
      <c r="K209" s="7" t="inlineStr">
        <is>
          <t>2026-10-14</t>
        </is>
      </c>
      <c r="L209" s="7" t="inlineStr">
        <is>
          <t>Suite automatizada</t>
        </is>
      </c>
    </row>
    <row r="210">
      <c r="A210" s="7" t="inlineStr">
        <is>
          <t>TA-209</t>
        </is>
      </c>
      <c r="B210" s="7" t="inlineStr">
        <is>
          <t>Sprint 1-2</t>
        </is>
      </c>
      <c r="C210" s="7" t="inlineStr">
        <is>
          <t>Pruebas automatizadas — Asistencia e inactividad automática (EP-10)</t>
        </is>
      </c>
      <c r="D210" s="7" t="inlineStr">
        <is>
          <t>Validar que registrar asistencia de una persona activa guarde la asistencia sin cambiar su estado</t>
        </is>
      </c>
      <c r="E210" s="7" t="inlineStr">
        <is>
          <t>Registrar asistencia de una persona con ficha Activa</t>
        </is>
      </c>
      <c r="F210" s="7" t="inlineStr">
        <is>
          <t>Existe una persona con ficha Activa.</t>
        </is>
      </c>
      <c r="G210" s="7" t="inlineStr">
        <is>
          <t>EP-10</t>
        </is>
      </c>
      <c r="H210" s="7" t="inlineStr">
        <is>
          <t>1. Registrar la asistencia de la persona  →  La operación es exitosa
2. Consultar asistencias y ficha  →  Existe una asistencia nueva y la ficha sigue Activa</t>
        </is>
      </c>
      <c r="I210" s="7" t="inlineStr">
        <is>
          <t>Vicaria.UnitTests › AttendanceServiceTests › RegisterAsync_PersonaActiva_RegistraAsistenciaYNoCambiaEstado</t>
        </is>
      </c>
      <c r="J210" s="7" t="inlineStr">
        <is>
          <t>OK</t>
        </is>
      </c>
      <c r="K210" s="7" t="inlineStr">
        <is>
          <t>2026-10-14</t>
        </is>
      </c>
      <c r="L210" s="7" t="inlineStr">
        <is>
          <t>Suite automatizada</t>
        </is>
      </c>
    </row>
    <row r="211">
      <c r="A211" s="7" t="inlineStr">
        <is>
          <t>TA-210</t>
        </is>
      </c>
      <c r="B211" s="7" t="inlineStr">
        <is>
          <t>Sprint 1-2</t>
        </is>
      </c>
      <c r="C211" s="7" t="inlineStr">
        <is>
          <t>Pruebas automatizadas — Asistencia e inactividad automática (EP-10)</t>
        </is>
      </c>
      <c r="D211" s="7" t="inlineStr">
        <is>
          <t>Validar que registrar asistencia reactive a una persona Inactiva y deje auditoría</t>
        </is>
      </c>
      <c r="E211" s="7" t="inlineStr">
        <is>
          <t>Registrar asistencia reactiva a la persona e informa auditoría</t>
        </is>
      </c>
      <c r="F211" s="7" t="inlineStr">
        <is>
          <t>Existe una persona con ficha Inactiva.</t>
        </is>
      </c>
      <c r="G211" s="7" t="inlineStr">
        <is>
          <t>EP-10</t>
        </is>
      </c>
      <c r="H211" s="7" t="inlineStr">
        <is>
          <t>1. Registrar la asistencia indicando el actor  →  La operación es exitosa
2. Consultar la ficha y la auditoría  →  La ficha pasa a Activa y hay un AuditLog de la reactivación</t>
        </is>
      </c>
      <c r="I211" s="7" t="inlineStr">
        <is>
          <t>Vicaria.UnitTests › AttendanceServiceTests › RegisterAsync_PersonaInactiva_ReactivaYRegistraAuditLog</t>
        </is>
      </c>
      <c r="J211" s="7" t="inlineStr">
        <is>
          <t>OK</t>
        </is>
      </c>
      <c r="K211" s="7" t="inlineStr">
        <is>
          <t>2026-10-14</t>
        </is>
      </c>
      <c r="L211" s="7" t="inlineStr">
        <is>
          <t>Suite automatizada</t>
        </is>
      </c>
    </row>
    <row r="212">
      <c r="A212" s="7" t="inlineStr">
        <is>
          <t>TA-211</t>
        </is>
      </c>
      <c r="B212" s="7" t="inlineStr">
        <is>
          <t>Sprint 1-2</t>
        </is>
      </c>
      <c r="C212" s="7" t="inlineStr">
        <is>
          <t>Pruebas automatizadas — Asistencia e inactividad automática (EP-10)</t>
        </is>
      </c>
      <c r="D212" s="7" t="inlineStr">
        <is>
          <t>Validar que registrar asistencia de una persona inexistente devuelva PersonNotFound</t>
        </is>
      </c>
      <c r="E212" s="7" t="inlineStr">
        <is>
          <t>Asistencia de persona inexistente</t>
        </is>
      </c>
      <c r="F212" s="7" t="inlineStr">
        <is>
          <t>No existe la persona indicada.</t>
        </is>
      </c>
      <c r="G212" s="7" t="inlineStr">
        <is>
          <t>EP-10</t>
        </is>
      </c>
      <c r="H212" s="7" t="inlineStr">
        <is>
          <t>1. Registrar asistencia con un id inexistente  →  La operación no es exitosa y devuelve PersonNotFound</t>
        </is>
      </c>
      <c r="I212" s="7" t="inlineStr">
        <is>
          <t>Vicaria.UnitTests › AttendanceServiceTests › RegisterAsync_PersonaInexistente_DevuelvePersonNotFound</t>
        </is>
      </c>
      <c r="J212" s="7" t="inlineStr">
        <is>
          <t>OK</t>
        </is>
      </c>
      <c r="K212" s="7" t="inlineStr">
        <is>
          <t>2026-10-14</t>
        </is>
      </c>
      <c r="L212" s="7" t="inlineStr">
        <is>
          <t>Suite automatizada</t>
        </is>
      </c>
    </row>
    <row r="213">
      <c r="A213" s="7" t="inlineStr">
        <is>
          <t>TA-212</t>
        </is>
      </c>
      <c r="B213" s="7" t="inlineStr">
        <is>
          <t>Sprint 1-2</t>
        </is>
      </c>
      <c r="C213" s="7" t="inlineStr">
        <is>
          <t>Pruebas automatizadas — Asistencia e inactividad automática (EP-10)</t>
        </is>
      </c>
      <c r="D213" s="7" t="inlineStr">
        <is>
          <t>Validar que registrar asistencia de una persona sin ficha devuelva SocialRecordNotFound</t>
        </is>
      </c>
      <c r="E213" s="7" t="inlineStr">
        <is>
          <t>Asistencia de persona sin ficha</t>
        </is>
      </c>
      <c r="F213" s="7" t="inlineStr">
        <is>
          <t>Existe una persona que no tiene ficha.</t>
        </is>
      </c>
      <c r="G213" s="7" t="inlineStr">
        <is>
          <t>EP-10</t>
        </is>
      </c>
      <c r="H213" s="7" t="inlineStr">
        <is>
          <t>1. Registrar la asistencia de la persona sin ficha  →  La operación no es exitosa y devuelve SocialRecordNotFound</t>
        </is>
      </c>
      <c r="I213" s="7" t="inlineStr">
        <is>
          <t>Vicaria.UnitTests › AttendanceServiceTests › RegisterAsync_PersonaSinFicha_DevuelveSocialRecordNotFound</t>
        </is>
      </c>
      <c r="J213" s="7" t="inlineStr">
        <is>
          <t>OK</t>
        </is>
      </c>
      <c r="K213" s="7" t="inlineStr">
        <is>
          <t>2026-10-14</t>
        </is>
      </c>
      <c r="L213" s="7" t="inlineStr">
        <is>
          <t>Suite automatizada</t>
        </is>
      </c>
    </row>
    <row r="214">
      <c r="A214" s="7" t="inlineStr">
        <is>
          <t>TA-213</t>
        </is>
      </c>
      <c r="B214" s="7" t="inlineStr">
        <is>
          <t>Sprint 1-2</t>
        </is>
      </c>
      <c r="C214" s="7" t="inlineStr">
        <is>
          <t>Pruebas automatizadas — Asistencia e inactividad automática (EP-10)</t>
        </is>
      </c>
      <c r="D214" s="7" t="inlineStr">
        <is>
          <t>Validar que el proceso de inactividad mantenga Activa a quien asistió hace pocos días</t>
        </is>
      </c>
      <c r="E214" s="7" t="inlineStr">
        <is>
          <t>Inactividad: asistencia reciente mantiene Activo</t>
        </is>
      </c>
      <c r="F214" s="7" t="inlineStr">
        <is>
          <t>Persona Activa con una asistencia de hace 5 días.</t>
        </is>
      </c>
      <c r="G214" s="7" t="inlineStr">
        <is>
          <t>EP-10</t>
        </is>
      </c>
      <c r="H214" s="7" t="inlineStr">
        <is>
          <t>1. Ejecutar el proceso automático de inactividad  →  La ficha de la persona sigue Activa</t>
        </is>
      </c>
      <c r="I214" s="7" t="inlineStr">
        <is>
          <t>Vicaria.UnitTests › AttendanceServiceTests › CheckInactivity_AsistenciaReciente_MantieneActivo</t>
        </is>
      </c>
      <c r="J214" s="7" t="inlineStr">
        <is>
          <t>OK</t>
        </is>
      </c>
      <c r="K214" s="7" t="inlineStr">
        <is>
          <t>2026-10-14</t>
        </is>
      </c>
      <c r="L214" s="7" t="inlineStr">
        <is>
          <t>Suite automatizada</t>
        </is>
      </c>
    </row>
    <row r="215">
      <c r="A215" s="7" t="inlineStr">
        <is>
          <t>TA-214</t>
        </is>
      </c>
      <c r="B215" s="7" t="inlineStr">
        <is>
          <t>Sprint 1-2</t>
        </is>
      </c>
      <c r="C215" s="7" t="inlineStr">
        <is>
          <t>Pruebas automatizadas — Asistencia e inactividad automática (EP-10)</t>
        </is>
      </c>
      <c r="D215" s="7" t="inlineStr">
        <is>
          <t>Validar que el proceso pase a Inactiva a quien no asiste hace más de 30 días y deje auditoría</t>
        </is>
      </c>
      <c r="E215" s="7" t="inlineStr">
        <is>
          <t>Inactividad: asistencia vieja pasa a Inactivo con auditoría</t>
        </is>
      </c>
      <c r="F215" s="7" t="inlineStr">
        <is>
          <t>Persona Activa con su última asistencia hace 31 días.</t>
        </is>
      </c>
      <c r="G215" s="7" t="inlineStr">
        <is>
          <t>EP-10</t>
        </is>
      </c>
      <c r="H215" s="7" t="inlineStr">
        <is>
          <t>1. Ejecutar el proceso automático de inactividad  →  La ficha pasa a Inactiva
2. Revisar la auditoría  →  Hay un AuditLog del cambio de estado automático</t>
        </is>
      </c>
      <c r="I215" s="7" t="inlineStr">
        <is>
          <t>Vicaria.UnitTests › AttendanceServiceTests › CheckInactivity_AsistenciaVieja_PasaAInactivoConAuditLog</t>
        </is>
      </c>
      <c r="J215" s="7" t="inlineStr">
        <is>
          <t>OK</t>
        </is>
      </c>
      <c r="K215" s="7" t="inlineStr">
        <is>
          <t>2026-10-14</t>
        </is>
      </c>
      <c r="L215" s="7" t="inlineStr">
        <is>
          <t>Suite automatizada</t>
        </is>
      </c>
    </row>
    <row r="216">
      <c r="A216" s="7" t="inlineStr">
        <is>
          <t>TA-215</t>
        </is>
      </c>
      <c r="B216" s="7" t="inlineStr">
        <is>
          <t>Sprint 1-2</t>
        </is>
      </c>
      <c r="C216" s="7" t="inlineStr">
        <is>
          <t>Pruebas automatizadas — Asistencia e inactividad automática (EP-10)</t>
        </is>
      </c>
      <c r="D216" s="7" t="inlineStr">
        <is>
          <t>Validar que una persona sin ninguna asistencia pase a Inactiva</t>
        </is>
      </c>
      <c r="E216" s="7" t="inlineStr">
        <is>
          <t>Inactividad: sin ninguna asistencia pasa a Inactivo</t>
        </is>
      </c>
      <c r="F216" s="7" t="inlineStr">
        <is>
          <t>Persona con ficha Activa y sin asistencias registradas.</t>
        </is>
      </c>
      <c r="G216" s="7" t="inlineStr">
        <is>
          <t>EP-10</t>
        </is>
      </c>
      <c r="H216" s="7" t="inlineStr">
        <is>
          <t>1. Ejecutar el proceso automático de inactividad  →  La ficha pasa a Inactiva</t>
        </is>
      </c>
      <c r="I216" s="7" t="inlineStr">
        <is>
          <t>Vicaria.UnitTests › AttendanceServiceTests › CheckInactivity_SinNingunaAsistencia_PasaAInactivo</t>
        </is>
      </c>
      <c r="J216" s="7" t="inlineStr">
        <is>
          <t>OK</t>
        </is>
      </c>
      <c r="K216" s="7" t="inlineStr">
        <is>
          <t>2026-10-14</t>
        </is>
      </c>
      <c r="L216" s="7" t="inlineStr">
        <is>
          <t>Suite automatizada</t>
        </is>
      </c>
    </row>
    <row r="217">
      <c r="A217" s="7" t="inlineStr">
        <is>
          <t>TA-216</t>
        </is>
      </c>
      <c r="B217" s="7" t="inlineStr">
        <is>
          <t>Sprint 1-2</t>
        </is>
      </c>
      <c r="C217" s="7" t="inlineStr">
        <is>
          <t>Pruebas automatizadas — Asistencia e inactividad automática (EP-10)</t>
        </is>
      </c>
      <c r="D217" s="7" t="inlineStr">
        <is>
          <t>Validar que el proceso no modifique fichas que ya están Inactivas</t>
        </is>
      </c>
      <c r="E217" s="7" t="inlineStr">
        <is>
          <t>Inactividad: no toca fichas ya Inactivas</t>
        </is>
      </c>
      <c r="F217" s="7" t="inlineStr">
        <is>
          <t>Persona con ficha ya Inactiva.</t>
        </is>
      </c>
      <c r="G217" s="7" t="inlineStr">
        <is>
          <t>EP-10</t>
        </is>
      </c>
      <c r="H217" s="7" t="inlineStr">
        <is>
          <t>1. Ejecutar el proceso automático de inactividad  →  La ficha sigue Inactiva y no se genera una auditoría nueva</t>
        </is>
      </c>
      <c r="I217" s="7" t="inlineStr">
        <is>
          <t>Vicaria.UnitTests › AttendanceServiceTests › CheckInactivity_SoloInactivos_NoTocaNada</t>
        </is>
      </c>
      <c r="J217" s="7" t="inlineStr">
        <is>
          <t>OK</t>
        </is>
      </c>
      <c r="K217" s="7" t="inlineStr">
        <is>
          <t>2026-10-14</t>
        </is>
      </c>
      <c r="L217" s="7" t="inlineStr">
        <is>
          <t>Suite automatizada</t>
        </is>
      </c>
    </row>
    <row r="218">
      <c r="A218" s="7" t="inlineStr">
        <is>
          <t>TA-217</t>
        </is>
      </c>
      <c r="B218" s="7" t="inlineStr">
        <is>
          <t>Sprint 1-2</t>
        </is>
      </c>
      <c r="C218" s="7" t="inlineStr">
        <is>
          <t>Pruebas automatizadas — Asistencia e inactividad automática (EP-10)</t>
        </is>
      </c>
      <c r="D218" s="7" t="inlineStr">
        <is>
          <t>Validar que el rol Escucha pueda registrar asistencia</t>
        </is>
      </c>
      <c r="E218" s="7" t="inlineStr">
        <is>
          <t>Escucha puede registrar asistencia</t>
        </is>
      </c>
      <c r="F218" s="7" t="inlineStr">
        <is>
          <t>Persona con ficha. Usuario con rol Escucha.</t>
        </is>
      </c>
      <c r="G218" s="7" t="inlineStr">
        <is>
          <t>EP-10</t>
        </is>
      </c>
      <c r="H218" s="7" t="inlineStr">
        <is>
          <t>1. Enviar POST /api/attendance con el token del rol Escucha  →  La API responde 204 No Content</t>
        </is>
      </c>
      <c r="I218" s="7" t="inlineStr">
        <is>
          <t>Vicaria.IntegrationTests › AttendanceEndpointTests › Register_ComoEscucha_Devuelve204</t>
        </is>
      </c>
      <c r="J218" s="7" t="inlineStr">
        <is>
          <t>OK</t>
        </is>
      </c>
      <c r="K218" s="7" t="inlineStr">
        <is>
          <t>2026-10-14</t>
        </is>
      </c>
      <c r="L218" s="7" t="inlineStr">
        <is>
          <t>Suite automatizada</t>
        </is>
      </c>
    </row>
    <row r="219">
      <c r="A219" s="7" t="inlineStr">
        <is>
          <t>TA-218</t>
        </is>
      </c>
      <c r="B219" s="7" t="inlineStr">
        <is>
          <t>Sprint 1-2</t>
        </is>
      </c>
      <c r="C219" s="7" t="inlineStr">
        <is>
          <t>Pruebas automatizadas — Asistencia e inactividad automática (EP-10)</t>
        </is>
      </c>
      <c r="D219" s="7" t="inlineStr">
        <is>
          <t>Validar por API que la asistencia de una ficha Activa se guarde sin cambiar el estado</t>
        </is>
      </c>
      <c r="E219" s="7" t="inlineStr">
        <is>
          <t>Asistencia por API de ficha Activa</t>
        </is>
      </c>
      <c r="F219" s="7" t="inlineStr">
        <is>
          <t>Persona con ficha Activa. Usuario autenticado.</t>
        </is>
      </c>
      <c r="G219" s="7" t="inlineStr">
        <is>
          <t>EP-10</t>
        </is>
      </c>
      <c r="H219" s="7" t="inlineStr">
        <is>
          <t>1. Enviar POST /api/attendance  →  La API responde 204
2. Consultar asistencias y ficha  →  Existe la asistencia y la ficha sigue Activa</t>
        </is>
      </c>
      <c r="I219" s="7" t="inlineStr">
        <is>
          <t>Vicaria.IntegrationTests › AttendanceEndpointTests › Register_ConFichaActiva_RegistraAsistenciaYNoCambiaEstado</t>
        </is>
      </c>
      <c r="J219" s="7" t="inlineStr">
        <is>
          <t>OK</t>
        </is>
      </c>
      <c r="K219" s="7" t="inlineStr">
        <is>
          <t>2026-10-14</t>
        </is>
      </c>
      <c r="L219" s="7" t="inlineStr">
        <is>
          <t>Suite automatizada</t>
        </is>
      </c>
    </row>
    <row r="220">
      <c r="A220" s="7" t="inlineStr">
        <is>
          <t>TA-219</t>
        </is>
      </c>
      <c r="B220" s="7" t="inlineStr">
        <is>
          <t>Sprint 1-2</t>
        </is>
      </c>
      <c r="C220" s="7" t="inlineStr">
        <is>
          <t>Pruebas automatizadas — Asistencia e inactividad automática (EP-10)</t>
        </is>
      </c>
      <c r="D220" s="7" t="inlineStr">
        <is>
          <t>Validar por API que la asistencia reactive una ficha Inactiva y deje auditoría</t>
        </is>
      </c>
      <c r="E220" s="7" t="inlineStr">
        <is>
          <t>Asistencia por API reactiva ficha Inactiva</t>
        </is>
      </c>
      <c r="F220" s="7" t="inlineStr">
        <is>
          <t>Persona con ficha Inactiva. Usuario autenticado.</t>
        </is>
      </c>
      <c r="G220" s="7" t="inlineStr">
        <is>
          <t>EP-10</t>
        </is>
      </c>
      <c r="H220" s="7" t="inlineStr">
        <is>
          <t>1. Enviar POST /api/attendance  →  La API responde 204
2. Consultar la ficha y la auditoría  →  La ficha pasa a Activa y queda el AuditLog</t>
        </is>
      </c>
      <c r="I220" s="7" t="inlineStr">
        <is>
          <t>Vicaria.IntegrationTests › AttendanceEndpointTests › Register_ConFichaInactiva_ReactivaYRegistraAuditLog</t>
        </is>
      </c>
      <c r="J220" s="7" t="inlineStr">
        <is>
          <t>OK</t>
        </is>
      </c>
      <c r="K220" s="7" t="inlineStr">
        <is>
          <t>2026-10-14</t>
        </is>
      </c>
      <c r="L220" s="7" t="inlineStr">
        <is>
          <t>Suite automatizada</t>
        </is>
      </c>
    </row>
    <row r="221">
      <c r="A221" s="7" t="inlineStr">
        <is>
          <t>TA-220</t>
        </is>
      </c>
      <c r="B221" s="7" t="inlineStr">
        <is>
          <t>Sprint 1-2</t>
        </is>
      </c>
      <c r="C221" s="7" t="inlineStr">
        <is>
          <t>Pruebas automatizadas — Asistencia e inactividad automática (EP-10)</t>
        </is>
      </c>
      <c r="D221" s="7" t="inlineStr">
        <is>
          <t>Validar que registrar asistencia de una persona inexistente devuelva 404</t>
        </is>
      </c>
      <c r="E221" s="7" t="inlineStr">
        <is>
          <t>Asistencia de persona inexistente devuelve 404</t>
        </is>
      </c>
      <c r="F221" s="7" t="inlineStr">
        <is>
          <t>Usuario Referente.</t>
        </is>
      </c>
      <c r="G221" s="7" t="inlineStr">
        <is>
          <t>EP-10</t>
        </is>
      </c>
      <c r="H221" s="7" t="inlineStr">
        <is>
          <t>1. Enviar POST /api/attendance con un id inexistente  →  La API responde 404 Not Found</t>
        </is>
      </c>
      <c r="I221" s="7" t="inlineStr">
        <is>
          <t>Vicaria.IntegrationTests › AttendanceEndpointTests › Register_PersonaInexistente_Devuelve404</t>
        </is>
      </c>
      <c r="J221" s="7" t="inlineStr">
        <is>
          <t>OK</t>
        </is>
      </c>
      <c r="K221" s="7" t="inlineStr">
        <is>
          <t>2026-10-14</t>
        </is>
      </c>
      <c r="L221" s="7" t="inlineStr">
        <is>
          <t>Suite automatizada</t>
        </is>
      </c>
    </row>
    <row r="222">
      <c r="A222" s="7" t="inlineStr">
        <is>
          <t>TA-221</t>
        </is>
      </c>
      <c r="B222" s="7" t="inlineStr">
        <is>
          <t>Sprint 1-2</t>
        </is>
      </c>
      <c r="C222" s="7" t="inlineStr">
        <is>
          <t>Pruebas automatizadas — Asistencia e inactividad automática (EP-10)</t>
        </is>
      </c>
      <c r="D222" s="7" t="inlineStr">
        <is>
          <t>Validar que registrar asistencia de una persona sin ficha devuelva 404</t>
        </is>
      </c>
      <c r="E222" s="7" t="inlineStr">
        <is>
          <t>Asistencia de persona sin ficha devuelve 404</t>
        </is>
      </c>
      <c r="F222" s="7" t="inlineStr">
        <is>
          <t>Usuario Referente. Existe una persona sin ficha.</t>
        </is>
      </c>
      <c r="G222" s="7" t="inlineStr">
        <is>
          <t>EP-10</t>
        </is>
      </c>
      <c r="H222" s="7" t="inlineStr">
        <is>
          <t>1. Enviar POST /api/attendance con la persona sin ficha  →  La API responde 404 Not Found</t>
        </is>
      </c>
      <c r="I222" s="7" t="inlineStr">
        <is>
          <t>Vicaria.IntegrationTests › AttendanceEndpointTests › Register_PersonaSinFicha_Devuelve404</t>
        </is>
      </c>
      <c r="J222" s="7" t="inlineStr">
        <is>
          <t>OK</t>
        </is>
      </c>
      <c r="K222" s="7" t="inlineStr">
        <is>
          <t>2026-10-14</t>
        </is>
      </c>
      <c r="L222" s="7" t="inlineStr">
        <is>
          <t>Suite automatizada</t>
        </is>
      </c>
    </row>
    <row r="223">
      <c r="A223" s="7" t="inlineStr">
        <is>
          <t>TA-222</t>
        </is>
      </c>
      <c r="B223" s="7" t="inlineStr">
        <is>
          <t>Sprint 1-2</t>
        </is>
      </c>
      <c r="C223" s="7" t="inlineStr">
        <is>
          <t>Pruebas automatizadas — Asistencia e inactividad automática (EP-10)</t>
        </is>
      </c>
      <c r="D223" s="7" t="inlineStr">
        <is>
          <t>Validar que un personId vacío sea rechazado</t>
        </is>
      </c>
      <c r="E223" s="7" t="inlineStr">
        <is>
          <t>Asistencia con personId vacío devuelve 400</t>
        </is>
      </c>
      <c r="F223" s="7" t="inlineStr">
        <is>
          <t>Usuario Referente.</t>
        </is>
      </c>
      <c r="G223" s="7" t="inlineStr">
        <is>
          <t>EP-10</t>
        </is>
      </c>
      <c r="H223" s="7" t="inlineStr">
        <is>
          <t>1. Enviar POST /api/attendance con el id vacío  →  La API responde 400 Bad Request</t>
        </is>
      </c>
      <c r="I223" s="7" t="inlineStr">
        <is>
          <t>Vicaria.IntegrationTests › AttendanceEndpointTests › Register_PersonIdVacio_Devuelve400</t>
        </is>
      </c>
      <c r="J223" s="7" t="inlineStr">
        <is>
          <t>OK</t>
        </is>
      </c>
      <c r="K223" s="7" t="inlineStr">
        <is>
          <t>2026-10-14</t>
        </is>
      </c>
      <c r="L223" s="7" t="inlineStr">
        <is>
          <t>Suite automatizada</t>
        </is>
      </c>
    </row>
    <row r="224">
      <c r="A224" s="7" t="inlineStr">
        <is>
          <t>TA-223</t>
        </is>
      </c>
      <c r="B224" s="7" t="inlineStr">
        <is>
          <t>Sprint 1-2</t>
        </is>
      </c>
      <c r="C224" s="7" t="inlineStr">
        <is>
          <t>Pruebas automatizadas — Asistencia e inactividad automática (EP-10)</t>
        </is>
      </c>
      <c r="D224" s="7" t="inlineStr">
        <is>
          <t>Validar que registrar asistencia sin token no esté autorizado</t>
        </is>
      </c>
      <c r="E224" s="7" t="inlineStr">
        <is>
          <t>Asistencia sin token devuelve 401</t>
        </is>
      </c>
      <c r="F224" s="7" t="inlineStr">
        <is>
          <t>El cliente no envía token.</t>
        </is>
      </c>
      <c r="G224" s="7" t="inlineStr">
        <is>
          <t>EP-10</t>
        </is>
      </c>
      <c r="H224" s="7" t="inlineStr">
        <is>
          <t>1. Enviar POST /api/attendance sin autenticación  →  La API responde 401 Unauthorized</t>
        </is>
      </c>
      <c r="I224" s="7" t="inlineStr">
        <is>
          <t>Vicaria.IntegrationTests › AttendanceEndpointTests › Register_SinToken_Devuelve401</t>
        </is>
      </c>
      <c r="J224" s="7" t="inlineStr">
        <is>
          <t>OK</t>
        </is>
      </c>
      <c r="K224" s="7" t="inlineStr">
        <is>
          <t>2026-10-14</t>
        </is>
      </c>
      <c r="L224" s="7" t="inlineStr">
        <is>
          <t>Suite automatizada</t>
        </is>
      </c>
    </row>
    <row r="225">
      <c r="A225" s="7" t="inlineStr">
        <is>
          <t>TA-224</t>
        </is>
      </c>
      <c r="B225" s="7" t="inlineStr">
        <is>
          <t>Sprint 1-2</t>
        </is>
      </c>
      <c r="C225" s="7" t="inlineStr">
        <is>
          <t>Pruebas automatizadas — Asistencia e inactividad automática (EP-10)</t>
        </is>
      </c>
      <c r="D225" s="7" t="inlineStr">
        <is>
          <t>Validar que el proceso de inactividad pase a Inactiva solo a la ficha sin asistencia reciente</t>
        </is>
      </c>
      <c r="E225" s="7" t="inlineStr">
        <is>
          <t>Inactividad aplicada sobre fichas con y sin asistencia reciente</t>
        </is>
      </c>
      <c r="F225" s="7" t="inlineStr">
        <is>
          <t>Una ficha con asistencia de hace más de 30 días y otra con asistencia reciente.</t>
        </is>
      </c>
      <c r="G225" s="7" t="inlineStr">
        <is>
          <t>EP-10</t>
        </is>
      </c>
      <c r="H225" s="7" t="inlineStr">
        <is>
          <t>1. Ejecutar el proceso automático de inactividad  →  La ficha con asistencia vieja pasa a Inactiva y la de asistencia reciente sigue Activa</t>
        </is>
      </c>
      <c r="I225" s="7" t="inlineStr">
        <is>
          <t>Vicaria.IntegrationTests › AttendanceEndpointTests › CheckInactivity_SinAsistenciaReciente_PasaAInactivo</t>
        </is>
      </c>
      <c r="J225" s="7" t="inlineStr">
        <is>
          <t>OK</t>
        </is>
      </c>
      <c r="K225" s="7" t="inlineStr">
        <is>
          <t>2026-10-14</t>
        </is>
      </c>
      <c r="L225" s="7" t="inlineStr">
        <is>
          <t>Suite automatizada</t>
        </is>
      </c>
    </row>
    <row r="226">
      <c r="A226" s="7" t="inlineStr">
        <is>
          <t>TA-225</t>
        </is>
      </c>
      <c r="B226" s="7" t="inlineStr">
        <is>
          <t>Sprint 1-2</t>
        </is>
      </c>
      <c r="C226" s="7" t="inlineStr">
        <is>
          <t>Pruebas automatizadas — Línea de tiempo del perfil (EP-02 / EP-12)</t>
        </is>
      </c>
      <c r="D226" s="7" t="inlineStr">
        <is>
          <t>Validar que la línea de tiempo de una persona inexistente devuelva error</t>
        </is>
      </c>
      <c r="E226" s="7" t="inlineStr">
        <is>
          <t>Línea de tiempo de persona inexistente</t>
        </is>
      </c>
      <c r="F226" s="7" t="inlineStr">
        <is>
          <t>No existe la persona indicada.</t>
        </is>
      </c>
      <c r="G226" s="7" t="inlineStr">
        <is>
          <t>EP-02</t>
        </is>
      </c>
      <c r="H226" s="7" t="inlineStr">
        <is>
          <t>1. Consultar la línea de tiempo de un id inexistente  →  La operación no es exitosa y devuelve PersonNotFound</t>
        </is>
      </c>
      <c r="I226" s="7" t="inlineStr">
        <is>
          <t>Vicaria.UnitTests › ProfileTimelineServiceTests › GetTimelineAsync_PersonaInexistente_DevuelveError</t>
        </is>
      </c>
      <c r="J226" s="7" t="inlineStr">
        <is>
          <t>OK</t>
        </is>
      </c>
      <c r="K226" s="7" t="inlineStr">
        <is>
          <t>2026-10-14</t>
        </is>
      </c>
      <c r="L226" s="7" t="inlineStr">
        <is>
          <t>Suite automatizada</t>
        </is>
      </c>
    </row>
    <row r="227">
      <c r="A227" s="7" t="inlineStr">
        <is>
          <t>TA-226</t>
        </is>
      </c>
      <c r="B227" s="7" t="inlineStr">
        <is>
          <t>Sprint 1-2</t>
        </is>
      </c>
      <c r="C227" s="7" t="inlineStr">
        <is>
          <t>Pruebas automatizadas — Línea de tiempo del perfil (EP-02 / EP-12)</t>
        </is>
      </c>
      <c r="D227" s="7" t="inlineStr">
        <is>
          <t>Validar que una persona sin datos devuelva una línea de tiempo vacía</t>
        </is>
      </c>
      <c r="E227" s="7" t="inlineStr">
        <is>
          <t>Línea de tiempo vacía</t>
        </is>
      </c>
      <c r="F227" s="7" t="inlineStr">
        <is>
          <t>Persona sin observaciones ni estadías.</t>
        </is>
      </c>
      <c r="G227" s="7" t="inlineStr">
        <is>
          <t>EP-02</t>
        </is>
      </c>
      <c r="H227" s="7" t="inlineStr">
        <is>
          <t>1. Consultar la línea de tiempo de la persona  →  La operación es exitosa y la lista está vacía</t>
        </is>
      </c>
      <c r="I227" s="7" t="inlineStr">
        <is>
          <t>Vicaria.UnitTests › ProfileTimelineServiceTests › GetTimelineAsync_SinDatos_DevuelveListaVacia</t>
        </is>
      </c>
      <c r="J227" s="7" t="inlineStr">
        <is>
          <t>OK</t>
        </is>
      </c>
      <c r="K227" s="7" t="inlineStr">
        <is>
          <t>2026-10-14</t>
        </is>
      </c>
      <c r="L227" s="7" t="inlineStr">
        <is>
          <t>Suite automatizada</t>
        </is>
      </c>
    </row>
    <row r="228">
      <c r="A228" s="7" t="inlineStr">
        <is>
          <t>TA-227</t>
        </is>
      </c>
      <c r="B228" s="7" t="inlineStr">
        <is>
          <t>Sprint 1-2</t>
        </is>
      </c>
      <c r="C228" s="7" t="inlineStr">
        <is>
          <t>Pruebas automatizadas — Línea de tiempo del perfil (EP-02 / EP-12)</t>
        </is>
      </c>
      <c r="D228" s="7" t="inlineStr">
        <is>
          <t>Validar que la línea de tiempo combine observaciones y estadías ordenadas por fecha</t>
        </is>
      </c>
      <c r="E228" s="7" t="inlineStr">
        <is>
          <t>Línea de tiempo combinada y ordenada</t>
        </is>
      </c>
      <c r="F228" s="7" t="inlineStr">
        <is>
          <t>Persona con observaciones y estadías en Casa de Convivencia.</t>
        </is>
      </c>
      <c r="G228" s="7" t="inlineStr">
        <is>
          <t>EP-02, EP-12</t>
        </is>
      </c>
      <c r="H228" s="7" t="inlineStr">
        <is>
          <t>1. Consultar la línea de tiempo de la persona  →  Se devuelven observaciones, ingresos y egresos mezclados y ordenados por fecha</t>
        </is>
      </c>
      <c r="I228" s="7" t="inlineStr">
        <is>
          <t>Vicaria.UnitTests › ProfileTimelineServiceTests › GetTimelineAsync_CombinaObservacionesYEstadias_OrdenadasPorFecha</t>
        </is>
      </c>
      <c r="J228" s="7" t="inlineStr">
        <is>
          <t>OK</t>
        </is>
      </c>
      <c r="K228" s="7" t="inlineStr">
        <is>
          <t>2026-10-14</t>
        </is>
      </c>
      <c r="L228" s="7" t="inlineStr">
        <is>
          <t>Suite automatizada</t>
        </is>
      </c>
    </row>
    <row r="229">
      <c r="A229" s="7" t="inlineStr">
        <is>
          <t>TA-228</t>
        </is>
      </c>
      <c r="B229" s="7" t="inlineStr">
        <is>
          <t>Sprint 1-2</t>
        </is>
      </c>
      <c r="C229" s="7" t="inlineStr">
        <is>
          <t>Pruebas automatizadas — Línea de tiempo del perfil (EP-02 / EP-12)</t>
        </is>
      </c>
      <c r="D229" s="7" t="inlineStr">
        <is>
          <t>Validar que una estadía sin egreso genere solo la entrada de ingreso</t>
        </is>
      </c>
      <c r="E229" s="7" t="inlineStr">
        <is>
          <t>Estadía sin egreso solo genera ingreso</t>
        </is>
      </c>
      <c r="F229" s="7" t="inlineStr">
        <is>
          <t>Persona con una estadía activa (sin egreso).</t>
        </is>
      </c>
      <c r="G229" s="7" t="inlineStr">
        <is>
          <t>EP-12</t>
        </is>
      </c>
      <c r="H229" s="7" t="inlineStr">
        <is>
          <t>1. Consultar la línea de tiempo de la persona  →  Aparece la entrada de ingreso y no hay entrada de egreso</t>
        </is>
      </c>
      <c r="I229" s="7" t="inlineStr">
        <is>
          <t>Vicaria.UnitTests › ProfileTimelineServiceTests › GetTimelineAsync_EstadiaSinEgreso_SoloGeneraIngreso</t>
        </is>
      </c>
      <c r="J229" s="7" t="inlineStr">
        <is>
          <t>OK</t>
        </is>
      </c>
      <c r="K229" s="7" t="inlineStr">
        <is>
          <t>2026-10-14</t>
        </is>
      </c>
      <c r="L229" s="7" t="inlineStr">
        <is>
          <t>Suite automatizada</t>
        </is>
      </c>
    </row>
    <row r="230">
      <c r="A230" s="7" t="inlineStr">
        <is>
          <t>TA-229</t>
        </is>
      </c>
      <c r="B230" s="7" t="inlineStr">
        <is>
          <t>Sprint 1-2</t>
        </is>
      </c>
      <c r="C230" s="7" t="inlineStr">
        <is>
          <t>Pruebas automatizadas — Línea de tiempo del perfil (EP-02 / EP-12)</t>
        </is>
      </c>
      <c r="D230" s="7" t="inlineStr">
        <is>
          <t>Validar por API que la línea de tiempo combine observaciones y estadías ordenadas</t>
        </is>
      </c>
      <c r="E230" s="7" t="inlineStr">
        <is>
          <t>Línea de tiempo por API combinada y ordenada</t>
        </is>
      </c>
      <c r="F230" s="7" t="inlineStr">
        <is>
          <t>Usuario Referente. Persona con observaciones y estadías.</t>
        </is>
      </c>
      <c r="G230" s="7" t="inlineStr">
        <is>
          <t>EP-02, EP-12</t>
        </is>
      </c>
      <c r="H230" s="7" t="inlineStr">
        <is>
          <t>1. Enviar GET /api/persons/{id}/timeline  →  La API responde 200 con las entradas combinadas
2. Revisar el orden  →  Las entradas vienen ordenadas por fecha</t>
        </is>
      </c>
      <c r="I230" s="7" t="inlineStr">
        <is>
          <t>Vicaria.IntegrationTests › ProfileTimelineEndpointTests › GetTimeline_ConObservacionesYEstadias_DevuelveEntradasCombinadasYOrdenadas</t>
        </is>
      </c>
      <c r="J230" s="7" t="inlineStr">
        <is>
          <t>OK</t>
        </is>
      </c>
      <c r="K230" s="7" t="inlineStr">
        <is>
          <t>2026-10-14</t>
        </is>
      </c>
      <c r="L230" s="7" t="inlineStr">
        <is>
          <t>Suite automatizada</t>
        </is>
      </c>
    </row>
    <row r="231">
      <c r="A231" s="7" t="inlineStr">
        <is>
          <t>TA-230</t>
        </is>
      </c>
      <c r="B231" s="7" t="inlineStr">
        <is>
          <t>Sprint 1-2</t>
        </is>
      </c>
      <c r="C231" s="7" t="inlineStr">
        <is>
          <t>Pruebas automatizadas — Línea de tiempo del perfil (EP-02 / EP-12)</t>
        </is>
      </c>
      <c r="D231" s="7" t="inlineStr">
        <is>
          <t>Validar que la línea de tiempo de una persona inexistente devuelva 404</t>
        </is>
      </c>
      <c r="E231" s="7" t="inlineStr">
        <is>
          <t>Línea de tiempo de persona inexistente devuelve 404</t>
        </is>
      </c>
      <c r="F231" s="7" t="inlineStr">
        <is>
          <t>Usuario Referente.</t>
        </is>
      </c>
      <c r="G231" s="7" t="inlineStr">
        <is>
          <t>EP-02</t>
        </is>
      </c>
      <c r="H231" s="7" t="inlineStr">
        <is>
          <t>1. Enviar GET /api/persons/{id}/timeline con un id inexistente  →  La API responde 404 Not Found</t>
        </is>
      </c>
      <c r="I231" s="7" t="inlineStr">
        <is>
          <t>Vicaria.IntegrationTests › ProfileTimelineEndpointTests › GetTimeline_PersonaInexistente_DevuelveNotFound</t>
        </is>
      </c>
      <c r="J231" s="7" t="inlineStr">
        <is>
          <t>OK</t>
        </is>
      </c>
      <c r="K231" s="7" t="inlineStr">
        <is>
          <t>2026-10-14</t>
        </is>
      </c>
      <c r="L231" s="7" t="inlineStr">
        <is>
          <t>Suite automatizada</t>
        </is>
      </c>
    </row>
    <row r="232">
      <c r="A232" s="7" t="inlineStr">
        <is>
          <t>TA-231</t>
        </is>
      </c>
      <c r="B232" s="7" t="inlineStr">
        <is>
          <t>Sprint 1-2</t>
        </is>
      </c>
      <c r="C232" s="7" t="inlineStr">
        <is>
          <t>Pruebas automatizadas — Línea de tiempo del perfil (EP-02 / EP-12)</t>
        </is>
      </c>
      <c r="D232" s="7" t="inlineStr">
        <is>
          <t>Validar que el rol Escucha pueda leer la línea de tiempo</t>
        </is>
      </c>
      <c r="E232" s="7" t="inlineStr">
        <is>
          <t>Escucha puede leer la línea de tiempo</t>
        </is>
      </c>
      <c r="F232" s="7" t="inlineStr">
        <is>
          <t>Persona existente. Usuario con rol Escucha.</t>
        </is>
      </c>
      <c r="G232" s="7" t="inlineStr">
        <is>
          <t>SCRUM-13, SCRUM-64</t>
        </is>
      </c>
      <c r="H232" s="7" t="inlineStr">
        <is>
          <t>1. Enviar GET /api/persons/{id}/timeline con el token del rol Escucha  →  La API responde 200 OK</t>
        </is>
      </c>
      <c r="I232" s="7" t="inlineStr">
        <is>
          <t>Vicaria.IntegrationTests › ProfileTimelineEndpointTests › GetTimeline_EscuchaPuedeLeerTimeline</t>
        </is>
      </c>
      <c r="J232" s="7" t="inlineStr">
        <is>
          <t>OK</t>
        </is>
      </c>
      <c r="K232" s="7" t="inlineStr">
        <is>
          <t>2026-10-14</t>
        </is>
      </c>
      <c r="L232" s="7" t="inlineStr">
        <is>
          <t>Suite automatizada</t>
        </is>
      </c>
    </row>
    <row r="233">
      <c r="A233" s="7" t="inlineStr">
        <is>
          <t>TA-232</t>
        </is>
      </c>
      <c r="B233" s="7" t="inlineStr">
        <is>
          <t>Sprint 1-2</t>
        </is>
      </c>
      <c r="C233" s="7" t="inlineStr">
        <is>
          <t>Pruebas automatizadas — Notificaciones internas (EP-03)</t>
        </is>
      </c>
      <c r="D233" s="7" t="inlineStr">
        <is>
          <t>Validar que marcar todas como leídas marque cada notificación y deje auditoría por cada una</t>
        </is>
      </c>
      <c r="E233" s="7" t="inlineStr">
        <is>
          <t>Marcar todas las notificaciones como leídas con auditoría</t>
        </is>
      </c>
      <c r="F233" s="7" t="inlineStr">
        <is>
          <t>Existen dos notificaciones sin leer dirigidas al rol Referente.</t>
        </is>
      </c>
      <c r="G233" s="7" t="inlineStr">
        <is>
          <t>SCRUM-22</t>
        </is>
      </c>
      <c r="H233" s="7" t="inlineStr">
        <is>
          <t>1. Marcar todas las notificaciones del rol como leídas indicando el actor  →  Las dos notificaciones quedan leídas
2. Revisar la auditoría  →  Hay un AuditLog por cada notificación marcada</t>
        </is>
      </c>
      <c r="I233" s="7" t="inlineStr">
        <is>
          <t>Vicaria.UnitTests › NotificationServiceTests › MarkAllAsReadAsync_MarcaTodasyRegistraAuditLogPorNotificacion</t>
        </is>
      </c>
      <c r="J233" s="7" t="inlineStr">
        <is>
          <t>OK</t>
        </is>
      </c>
      <c r="K233" s="7" t="inlineStr">
        <is>
          <t>2026-10-14</t>
        </is>
      </c>
      <c r="L233" s="7" t="inlineStr">
        <is>
          <t>Suite automatizada</t>
        </is>
      </c>
    </row>
    <row r="234">
      <c r="A234" s="7" t="inlineStr">
        <is>
          <t>TA-233</t>
        </is>
      </c>
      <c r="B234" s="7" t="inlineStr">
        <is>
          <t>Sprint 1-2</t>
        </is>
      </c>
      <c r="C234" s="7" t="inlineStr">
        <is>
          <t>Pruebas automatizadas — Notificaciones internas (EP-03)</t>
        </is>
      </c>
      <c r="D234" s="7" t="inlineStr">
        <is>
          <t>Validar que si no hay notificaciones pendientes no se registre auditoría</t>
        </is>
      </c>
      <c r="E234" s="7" t="inlineStr">
        <is>
          <t>Marcar todas como leídas sin pendientes</t>
        </is>
      </c>
      <c r="F234" s="7" t="inlineStr">
        <is>
          <t>Solo existe una notificación ya leída para el rol Referente.</t>
        </is>
      </c>
      <c r="G234" s="7" t="inlineStr">
        <is>
          <t>SCRUM-22</t>
        </is>
      </c>
      <c r="H234" s="7" t="inlineStr">
        <is>
          <t>1. Marcar todas las notificaciones del rol como leídas  →  La operación finaliza
2. Revisar la auditoría  →  No se registró ningún AuditLog</t>
        </is>
      </c>
      <c r="I234" s="7" t="inlineStr">
        <is>
          <t>Vicaria.UnitTests › NotificationServiceTests › MarkAllAsReadAsync_SinNotificacionesPendientes_NoRegistraAuditLog</t>
        </is>
      </c>
      <c r="J234" s="7" t="inlineStr">
        <is>
          <t>OK</t>
        </is>
      </c>
      <c r="K234" s="7" t="inlineStr">
        <is>
          <t>2026-10-14</t>
        </is>
      </c>
      <c r="L234" s="7" t="inlineStr">
        <is>
          <t>Suite automatizada</t>
        </is>
      </c>
    </row>
    <row r="235">
      <c r="A235" s="7" t="inlineStr">
        <is>
          <t>TA-234</t>
        </is>
      </c>
      <c r="B235" s="7" t="inlineStr">
        <is>
          <t>Sprint 3</t>
        </is>
      </c>
      <c r="C235" s="7" t="inlineStr">
        <is>
          <t>Calendario general</t>
        </is>
      </c>
      <c r="D235" s="7" t="inlineStr">
        <is>
          <t>Validar: Evento mensual</t>
        </is>
      </c>
      <c r="E235" s="7" t="inlineStr">
        <is>
          <t>Respalda TC-137: Aparece el mismo día de cada mes; no aparece otros días ni antes de su fecha</t>
        </is>
      </c>
      <c r="F235" s="7" t="inlineStr">
        <is>
          <t>Servicio con DbContext InMemory.</t>
        </is>
      </c>
      <c r="G235" s="7" t="inlineStr">
        <is>
          <t>SCRUM-16</t>
        </is>
      </c>
      <c r="H235" s="7" t="inlineStr">
        <is>
          <t>1. POST /api/general-calendar-events con repeatsMonthly: true y consultar el mismo día de meses posteriores  →  Aparece el mismo día de cada mes; no aparece otros días ni antes de su fecha</t>
        </is>
      </c>
      <c r="I235" s="7" t="inlineStr">
        <is>
          <t>Vicaria.UnitTests › CalendarEventMonthlyRecurrenceTests › Expand_MonthlyEvent_ReturnsSameDayEachMonth</t>
        </is>
      </c>
      <c r="J235" s="7" t="inlineStr">
        <is>
          <t>OK</t>
        </is>
      </c>
      <c r="K235" s="7" t="inlineStr">
        <is>
          <t>2026-10-14</t>
        </is>
      </c>
      <c r="L235" s="7" t="inlineStr">
        <is>
          <t>Suite automatizada</t>
        </is>
      </c>
    </row>
    <row r="236">
      <c r="A236" s="7" t="inlineStr">
        <is>
          <t>TA-235</t>
        </is>
      </c>
      <c r="B236" s="7" t="inlineStr">
        <is>
          <t>Sprint 3</t>
        </is>
      </c>
      <c r="C236" s="7" t="inlineStr">
        <is>
          <t>Calendario general</t>
        </is>
      </c>
      <c r="D236" s="7" t="inlineStr">
        <is>
          <t>Validar: Serie iniciada antes del rango</t>
        </is>
      </c>
      <c r="E236" s="7" t="inlineStr">
        <is>
          <t>Respalda TC-139: Se muestra (antes solo aparecía en su semana de inicio)</t>
        </is>
      </c>
      <c r="F236" s="7" t="inlineStr">
        <is>
          <t>Servicio con DbContext InMemory.</t>
        </is>
      </c>
      <c r="G236" s="7" t="inlineStr">
        <is>
          <t>SCRUM-16</t>
        </is>
      </c>
      <c r="H236" s="7" t="inlineStr">
        <is>
          <t>1. Evento semanal creado en octubre, consultar una semana de diciembre  →  Se muestra (antes solo aparecía en su semana de inicio)</t>
        </is>
      </c>
      <c r="I236" s="7" t="inlineStr">
        <is>
          <t>Vicaria.UnitTests › CalendarEventMonthlyRecurrenceTests › Expand_MonthlyEventStartingBeforeRange_ShowsOccurrenceInsideRange</t>
        </is>
      </c>
      <c r="J236" s="7" t="inlineStr">
        <is>
          <t>OK</t>
        </is>
      </c>
      <c r="K236" s="7" t="inlineStr">
        <is>
          <t>2026-10-14</t>
        </is>
      </c>
      <c r="L236" s="7" t="inlineStr">
        <is>
          <t>Suite automatizada</t>
        </is>
      </c>
    </row>
    <row r="237">
      <c r="A237" s="7" t="inlineStr">
        <is>
          <t>TA-236</t>
        </is>
      </c>
      <c r="B237" s="7" t="inlineStr">
        <is>
          <t>Sprint 3</t>
        </is>
      </c>
      <c r="C237" s="7" t="inlineStr">
        <is>
          <t>Calendario general</t>
        </is>
      </c>
      <c r="D237" s="7" t="inlineStr">
        <is>
          <t>Validar: Mes más corto</t>
        </is>
      </c>
      <c r="E237" s="7" t="inlineStr">
        <is>
          <t>Respalda TC-138: Cae el último día de los meses de 30 días y de febrero (28 o 29)</t>
        </is>
      </c>
      <c r="F237" s="7" t="inlineStr">
        <is>
          <t>Servicio con DbContext InMemory.</t>
        </is>
      </c>
      <c r="G237" s="7" t="inlineStr">
        <is>
          <t>SCRUM-16</t>
        </is>
      </c>
      <c r="H237" s="7" t="inlineStr">
        <is>
          <t>1. Evento mensual del día 31  →  Cae el último día de los meses de 30 días y de febrero (28 o 29)</t>
        </is>
      </c>
      <c r="I237" s="7" t="inlineStr">
        <is>
          <t>Vicaria.UnitTests › CalendarEventMonthlyRecurrenceTests › Expand_MonthlyEventOnDay31_FallsOnLastDayOfShorterMonths</t>
        </is>
      </c>
      <c r="J237" s="7" t="inlineStr">
        <is>
          <t>OK</t>
        </is>
      </c>
      <c r="K237" s="7" t="inlineStr">
        <is>
          <t>2026-10-14</t>
        </is>
      </c>
      <c r="L237" s="7" t="inlineStr">
        <is>
          <t>Suite automatizada</t>
        </is>
      </c>
    </row>
    <row r="238">
      <c r="A238" s="7" t="inlineStr">
        <is>
          <t>TA-237</t>
        </is>
      </c>
      <c r="B238" s="7" t="inlineStr">
        <is>
          <t>Sprint 3</t>
        </is>
      </c>
      <c r="C238" s="7" t="inlineStr">
        <is>
          <t>Calendario general</t>
        </is>
      </c>
      <c r="D238" s="7" t="inlineStr">
        <is>
          <t>Validar: Mes más corto</t>
        </is>
      </c>
      <c r="E238" s="7" t="inlineStr">
        <is>
          <t>Respalda TC-138: Cae el último día de los meses de 30 días y de febrero (28 o 29)</t>
        </is>
      </c>
      <c r="F238" s="7" t="inlineStr">
        <is>
          <t>Servicio con DbContext InMemory.</t>
        </is>
      </c>
      <c r="G238" s="7" t="inlineStr">
        <is>
          <t>SCRUM-16</t>
        </is>
      </c>
      <c r="H238" s="7" t="inlineStr">
        <is>
          <t>1. Evento mensual del día 31  →  Cae el último día de los meses de 30 días y de febrero (28 o 29)</t>
        </is>
      </c>
      <c r="I238" s="7" t="inlineStr">
        <is>
          <t>Vicaria.UnitTests › CalendarEventMonthlyRecurrenceTests › Expand_MonthlyEventOnDay31_UsesLeapDayInLeapYear</t>
        </is>
      </c>
      <c r="J238" s="7" t="inlineStr">
        <is>
          <t>OK</t>
        </is>
      </c>
      <c r="K238" s="7" t="inlineStr">
        <is>
          <t>2026-10-14</t>
        </is>
      </c>
      <c r="L238" s="7" t="inlineStr">
        <is>
          <t>Suite automatizada</t>
        </is>
      </c>
    </row>
    <row r="239">
      <c r="A239" s="7" t="inlineStr">
        <is>
          <t>TA-238</t>
        </is>
      </c>
      <c r="B239" s="7" t="inlineStr">
        <is>
          <t>Sprint 3</t>
        </is>
      </c>
      <c r="C239" s="7" t="inlineStr">
        <is>
          <t>Calendario general</t>
        </is>
      </c>
      <c r="D239" s="7" t="inlineStr">
        <is>
          <t>Validar: Expand · MonthlyEvent · NeverReturnsDatesBeforeItsStart</t>
        </is>
      </c>
      <c r="E239" s="7" t="inlineStr">
        <is>
          <t>Sin TC manual asociado; descripción derivada del nombre del test.</t>
        </is>
      </c>
      <c r="F239" s="7" t="inlineStr">
        <is>
          <t>Servicio con DbContext InMemory.</t>
        </is>
      </c>
      <c r="G239" s="7" t="inlineStr">
        <is>
          <t>SCRUM-15 / SCRUM-16</t>
        </is>
      </c>
      <c r="H239" s="7" t="inlineStr"/>
      <c r="I239" s="7" t="inlineStr">
        <is>
          <t>Vicaria.UnitTests › CalendarEventMonthlyRecurrenceTests › Expand_MonthlyEvent_NeverReturnsDatesBeforeItsStart</t>
        </is>
      </c>
      <c r="J239" s="7" t="inlineStr">
        <is>
          <t>OK</t>
        </is>
      </c>
      <c r="K239" s="7" t="inlineStr">
        <is>
          <t>2026-10-14</t>
        </is>
      </c>
      <c r="L239" s="7" t="inlineStr">
        <is>
          <t>Suite automatizada</t>
        </is>
      </c>
    </row>
    <row r="240">
      <c r="A240" s="7" t="inlineStr">
        <is>
          <t>TA-239</t>
        </is>
      </c>
      <c r="B240" s="7" t="inlineStr">
        <is>
          <t>Sprint 3</t>
        </is>
      </c>
      <c r="C240" s="7" t="inlineStr">
        <is>
          <t>Calendario general</t>
        </is>
      </c>
      <c r="D240" s="7" t="inlineStr">
        <is>
          <t>Validar: Expand · MonthlyEvent · RangeWithoutThatDayReturnsEmpty</t>
        </is>
      </c>
      <c r="E240" s="7" t="inlineStr">
        <is>
          <t>Sin TC manual asociado; descripción derivada del nombre del test.</t>
        </is>
      </c>
      <c r="F240" s="7" t="inlineStr">
        <is>
          <t>Servicio con DbContext InMemory.</t>
        </is>
      </c>
      <c r="G240" s="7" t="inlineStr">
        <is>
          <t>SCRUM-15 / SCRUM-16</t>
        </is>
      </c>
      <c r="H240" s="7" t="inlineStr"/>
      <c r="I240" s="7" t="inlineStr">
        <is>
          <t>Vicaria.UnitTests › CalendarEventMonthlyRecurrenceTests › Expand_MonthlyEvent_RangeWithoutThatDayReturnsEmpty</t>
        </is>
      </c>
      <c r="J240" s="7" t="inlineStr">
        <is>
          <t>OK</t>
        </is>
      </c>
      <c r="K240" s="7" t="inlineStr">
        <is>
          <t>2026-10-14</t>
        </is>
      </c>
      <c r="L240" s="7" t="inlineStr">
        <is>
          <t>Suite automatizada</t>
        </is>
      </c>
    </row>
    <row r="241">
      <c r="A241" s="7" t="inlineStr">
        <is>
          <t>TA-240</t>
        </is>
      </c>
      <c r="B241" s="7" t="inlineStr">
        <is>
          <t>Sprint 3</t>
        </is>
      </c>
      <c r="C241" s="7" t="inlineStr">
        <is>
          <t>Calendario general</t>
        </is>
      </c>
      <c r="D241" s="7" t="inlineStr">
        <is>
          <t>Validar: Expand · WithoutMonthlyFlag · StillSingleDate</t>
        </is>
      </c>
      <c r="E241" s="7" t="inlineStr">
        <is>
          <t>Sin TC manual asociado; descripción derivada del nombre del test.</t>
        </is>
      </c>
      <c r="F241" s="7" t="inlineStr">
        <is>
          <t>Servicio con DbContext InMemory.</t>
        </is>
      </c>
      <c r="G241" s="7" t="inlineStr">
        <is>
          <t>SCRUM-15 / SCRUM-16</t>
        </is>
      </c>
      <c r="H241" s="7" t="inlineStr"/>
      <c r="I241" s="7" t="inlineStr">
        <is>
          <t>Vicaria.UnitTests › CalendarEventMonthlyRecurrenceTests › Expand_WithoutMonthlyFlag_StillSingleDate</t>
        </is>
      </c>
      <c r="J241" s="7" t="inlineStr">
        <is>
          <t>OK</t>
        </is>
      </c>
      <c r="K241" s="7" t="inlineStr">
        <is>
          <t>2026-10-14</t>
        </is>
      </c>
      <c r="L241" s="7" t="inlineStr">
        <is>
          <t>Suite automatizada</t>
        </is>
      </c>
    </row>
    <row r="242">
      <c r="A242" s="7" t="inlineStr">
        <is>
          <t>TA-241</t>
        </is>
      </c>
      <c r="B242" s="7" t="inlineStr">
        <is>
          <t>Sprint 3</t>
        </is>
      </c>
      <c r="C242" s="7" t="inlineStr">
        <is>
          <t>Calendario general</t>
        </is>
      </c>
      <c r="D242" s="7" t="inlineStr">
        <is>
          <t>Validar: Expand · NullDateWithWeekdayFlags · ExpandsEveryMatchedDayInRange</t>
        </is>
      </c>
      <c r="E242" s="7" t="inlineStr">
        <is>
          <t>Sin TC manual asociado; descripción derivada del nombre del test.</t>
        </is>
      </c>
      <c r="F242" s="7" t="inlineStr">
        <is>
          <t>Servicio con DbContext InMemory.</t>
        </is>
      </c>
      <c r="G242" s="7" t="inlineStr">
        <is>
          <t>SCRUM-15 / SCRUM-16</t>
        </is>
      </c>
      <c r="H242" s="7" t="inlineStr"/>
      <c r="I242" s="7" t="inlineStr">
        <is>
          <t>Vicaria.UnitTests › CalendarEventOccurrenceExpanderTests › Expand_NullDateWithWeekdayFlags_ExpandsEveryMatchedDayInRange</t>
        </is>
      </c>
      <c r="J242" s="7" t="inlineStr">
        <is>
          <t>OK</t>
        </is>
      </c>
      <c r="K242" s="7" t="inlineStr">
        <is>
          <t>2026-10-14</t>
        </is>
      </c>
      <c r="L242" s="7" t="inlineStr">
        <is>
          <t>Suite automatizada</t>
        </is>
      </c>
    </row>
    <row r="243">
      <c r="A243" s="7" t="inlineStr">
        <is>
          <t>TA-242</t>
        </is>
      </c>
      <c r="B243" s="7" t="inlineStr">
        <is>
          <t>Sprint 3</t>
        </is>
      </c>
      <c r="C243" s="7" t="inlineStr">
        <is>
          <t>Calendario general</t>
        </is>
      </c>
      <c r="D243" s="7" t="inlineStr">
        <is>
          <t>Validar: Expand · NullDateWithoutRecurrence · ReturnsEmpty</t>
        </is>
      </c>
      <c r="E243" s="7" t="inlineStr">
        <is>
          <t>Sin TC manual asociado; descripción derivada del nombre del test.</t>
        </is>
      </c>
      <c r="F243" s="7" t="inlineStr">
        <is>
          <t>Servicio con DbContext InMemory.</t>
        </is>
      </c>
      <c r="G243" s="7" t="inlineStr">
        <is>
          <t>SCRUM-15 / SCRUM-16</t>
        </is>
      </c>
      <c r="H243" s="7" t="inlineStr"/>
      <c r="I243" s="7" t="inlineStr">
        <is>
          <t>Vicaria.UnitTests › CalendarEventOccurrenceExpanderTests › Expand_NullDateWithoutRecurrence_ReturnsEmpty</t>
        </is>
      </c>
      <c r="J243" s="7" t="inlineStr">
        <is>
          <t>OK</t>
        </is>
      </c>
      <c r="K243" s="7" t="inlineStr">
        <is>
          <t>2026-10-14</t>
        </is>
      </c>
      <c r="L243" s="7" t="inlineStr">
        <is>
          <t>Suite automatizada</t>
        </is>
      </c>
    </row>
    <row r="244">
      <c r="A244" s="7" t="inlineStr">
        <is>
          <t>TA-243</t>
        </is>
      </c>
      <c r="B244" s="7" t="inlineStr">
        <is>
          <t>Sprint 3</t>
        </is>
      </c>
      <c r="C244" s="7" t="inlineStr">
        <is>
          <t>Calendario general</t>
        </is>
      </c>
      <c r="D244" s="7" t="inlineStr">
        <is>
          <t>Validar: Expand · SingleDateWithoutRecurrence · ReturnsDateOnlyWhenInRange</t>
        </is>
      </c>
      <c r="E244" s="7" t="inlineStr">
        <is>
          <t>Sin TC manual asociado; descripción derivada del nombre del test.</t>
        </is>
      </c>
      <c r="F244" s="7" t="inlineStr">
        <is>
          <t>Servicio con DbContext InMemory.</t>
        </is>
      </c>
      <c r="G244" s="7" t="inlineStr">
        <is>
          <t>SCRUM-15 / SCRUM-16</t>
        </is>
      </c>
      <c r="H244" s="7" t="inlineStr"/>
      <c r="I244" s="7" t="inlineStr">
        <is>
          <t>Vicaria.UnitTests › CalendarEventOccurrenceExpanderTests › Expand_SingleDateWithoutRecurrence_ReturnsDateOnlyWhenInRange</t>
        </is>
      </c>
      <c r="J244" s="7" t="inlineStr">
        <is>
          <t>OK</t>
        </is>
      </c>
      <c r="K244" s="7" t="inlineStr">
        <is>
          <t>2026-10-14</t>
        </is>
      </c>
      <c r="L244" s="7" t="inlineStr">
        <is>
          <t>Suite automatizada</t>
        </is>
      </c>
    </row>
    <row r="245">
      <c r="A245" s="7" t="inlineStr">
        <is>
          <t>TA-244</t>
        </is>
      </c>
      <c r="B245" s="7" t="inlineStr">
        <is>
          <t>Sprint 3</t>
        </is>
      </c>
      <c r="C245" s="7" t="inlineStr">
        <is>
          <t>Calendario general</t>
        </is>
      </c>
      <c r="D245" s="7" t="inlineStr">
        <is>
          <t>Validar: Expand · SeriesStartsOnStartDate · AndSkipsEarlierMatchedDays</t>
        </is>
      </c>
      <c r="E245" s="7" t="inlineStr">
        <is>
          <t>Sin TC manual asociado; descripción derivada del nombre del test.</t>
        </is>
      </c>
      <c r="F245" s="7" t="inlineStr">
        <is>
          <t>Servicio con DbContext InMemory.</t>
        </is>
      </c>
      <c r="G245" s="7" t="inlineStr">
        <is>
          <t>SCRUM-15 / SCRUM-16</t>
        </is>
      </c>
      <c r="H245" s="7" t="inlineStr"/>
      <c r="I245" s="7" t="inlineStr">
        <is>
          <t>Vicaria.UnitTests › CalendarEventOccurrenceExpanderTests › Expand_SeriesStartsOnStartDate_AndSkipsEarlierMatchedDays</t>
        </is>
      </c>
      <c r="J245" s="7" t="inlineStr">
        <is>
          <t>OK</t>
        </is>
      </c>
      <c r="K245" s="7" t="inlineStr">
        <is>
          <t>2026-10-14</t>
        </is>
      </c>
      <c r="L245" s="7" t="inlineStr">
        <is>
          <t>Suite automatizada</t>
        </is>
      </c>
    </row>
    <row r="246">
      <c r="A246" s="7" t="inlineStr">
        <is>
          <t>TA-245</t>
        </is>
      </c>
      <c r="B246" s="7" t="inlineStr">
        <is>
          <t>Sprint 3</t>
        </is>
      </c>
      <c r="C246" s="7" t="inlineStr">
        <is>
          <t>Calendario general</t>
        </is>
      </c>
      <c r="D246" s="7" t="inlineStr">
        <is>
          <t>Validar: Expand · SeriesStartingBeforeRange · OnlyReturnsMatchedDaysInsideRange</t>
        </is>
      </c>
      <c r="E246" s="7" t="inlineStr">
        <is>
          <t>Sin TC manual asociado; descripción derivada del nombre del test.</t>
        </is>
      </c>
      <c r="F246" s="7" t="inlineStr">
        <is>
          <t>Servicio con DbContext InMemory.</t>
        </is>
      </c>
      <c r="G246" s="7" t="inlineStr">
        <is>
          <t>SCRUM-15 / SCRUM-16</t>
        </is>
      </c>
      <c r="H246" s="7" t="inlineStr"/>
      <c r="I246" s="7" t="inlineStr">
        <is>
          <t>Vicaria.UnitTests › CalendarEventOccurrenceExpanderTests › Expand_SeriesStartingBeforeRange_OnlyReturnsMatchedDaysInsideRange</t>
        </is>
      </c>
      <c r="J246" s="7" t="inlineStr">
        <is>
          <t>OK</t>
        </is>
      </c>
      <c r="K246" s="7" t="inlineStr">
        <is>
          <t>2026-10-14</t>
        </is>
      </c>
      <c r="L246" s="7" t="inlineStr">
        <is>
          <t>Suite automatizada</t>
        </is>
      </c>
    </row>
    <row r="247">
      <c r="A247" s="7" t="inlineStr">
        <is>
          <t>TA-246</t>
        </is>
      </c>
      <c r="B247" s="7" t="inlineStr">
        <is>
          <t>Sprint 3</t>
        </is>
      </c>
      <c r="C247" s="7" t="inlineStr">
        <is>
          <t>Calendario general</t>
        </is>
      </c>
      <c r="D247" s="7" t="inlineStr">
        <is>
          <t>Validar: Expand · SeriesStartingAfterRange · ReturnsEmpty</t>
        </is>
      </c>
      <c r="E247" s="7" t="inlineStr">
        <is>
          <t>Sin TC manual asociado; descripción derivada del nombre del test.</t>
        </is>
      </c>
      <c r="F247" s="7" t="inlineStr">
        <is>
          <t>Servicio con DbContext InMemory.</t>
        </is>
      </c>
      <c r="G247" s="7" t="inlineStr">
        <is>
          <t>SCRUM-15 / SCRUM-16</t>
        </is>
      </c>
      <c r="H247" s="7" t="inlineStr"/>
      <c r="I247" s="7" t="inlineStr">
        <is>
          <t>Vicaria.UnitTests › CalendarEventOccurrenceExpanderTests › Expand_SeriesStartingAfterRange_ReturnsEmpty</t>
        </is>
      </c>
      <c r="J247" s="7" t="inlineStr">
        <is>
          <t>OK</t>
        </is>
      </c>
      <c r="K247" s="7" t="inlineStr">
        <is>
          <t>2026-10-14</t>
        </is>
      </c>
      <c r="L247" s="7" t="inlineStr">
        <is>
          <t>Suite automatizada</t>
        </is>
      </c>
    </row>
    <row r="248">
      <c r="A248" s="7" t="inlineStr">
        <is>
          <t>TA-247</t>
        </is>
      </c>
      <c r="B248" s="7" t="inlineStr">
        <is>
          <t>Sprint 3</t>
        </is>
      </c>
      <c r="C248" s="7" t="inlineStr">
        <is>
          <t>Calendario general</t>
        </is>
      </c>
      <c r="D248" s="7" t="inlineStr">
        <is>
          <t>Validar: Expand · AppliedToWeekendOnlyEvent · OnlyMatchesWeekendDays</t>
        </is>
      </c>
      <c r="E248" s="7" t="inlineStr">
        <is>
          <t>Sin TC manual asociado; descripción derivada del nombre del test.</t>
        </is>
      </c>
      <c r="F248" s="7" t="inlineStr">
        <is>
          <t>Servicio con DbContext InMemory.</t>
        </is>
      </c>
      <c r="G248" s="7" t="inlineStr">
        <is>
          <t>SCRUM-15 / SCRUM-16</t>
        </is>
      </c>
      <c r="H248" s="7" t="inlineStr"/>
      <c r="I248" s="7" t="inlineStr">
        <is>
          <t>Vicaria.UnitTests › CalendarEventOccurrenceExpanderTests › Expand_AppliedToWeekendOnlyEvent_OnlyMatchesWeekendDays</t>
        </is>
      </c>
      <c r="J248" s="7" t="inlineStr">
        <is>
          <t>OK</t>
        </is>
      </c>
      <c r="K248" s="7" t="inlineStr">
        <is>
          <t>2026-10-14</t>
        </is>
      </c>
      <c r="L248" s="7" t="inlineStr">
        <is>
          <t>Suite automatizada</t>
        </is>
      </c>
    </row>
    <row r="249">
      <c r="A249" s="7" t="inlineStr">
        <is>
          <t>TA-248</t>
        </is>
      </c>
      <c r="B249" s="7" t="inlineStr">
        <is>
          <t>Sprint 3</t>
        </is>
      </c>
      <c r="C249" s="7" t="inlineStr">
        <is>
          <t>Calendario general</t>
        </is>
      </c>
      <c r="D249" s="7" t="inlineStr">
        <is>
          <t>Validar: Editar evento (Referente)</t>
        </is>
      </c>
      <c r="E249" s="7" t="inlineStr">
        <is>
          <t>Respalda TC-100: 204; el detalle refleja el cambio; AuditLog "Evento general modificado"</t>
        </is>
      </c>
      <c r="F249" s="7" t="inlineStr">
        <is>
          <t>Servicio con DbContext InMemory.</t>
        </is>
      </c>
      <c r="G249" s="7" t="inlineStr">
        <is>
          <t>SCRUM-16</t>
        </is>
      </c>
      <c r="H249" s="7" t="inlineStr">
        <is>
          <t>1. PUT /api/general-calendar-events/{id} con nuevos datos  →  204; el detalle refleja el cambio; AuditLog "Evento general modificado"</t>
        </is>
      </c>
      <c r="I249" s="7" t="inlineStr">
        <is>
          <t>Vicaria.UnitTests › GeneralCalendarEventOperationsTests › UpdateAsync_WhenAuthorUpdates_SucceedsAndLogsAudit</t>
        </is>
      </c>
      <c r="J249" s="7" t="inlineStr">
        <is>
          <t>OK</t>
        </is>
      </c>
      <c r="K249" s="7" t="inlineStr">
        <is>
          <t>2026-10-14</t>
        </is>
      </c>
      <c r="L249" s="7" t="inlineStr">
        <is>
          <t>Suite automatizada</t>
        </is>
      </c>
    </row>
    <row r="250">
      <c r="A250" s="7" t="inlineStr">
        <is>
          <t>TA-249</t>
        </is>
      </c>
      <c r="B250" s="7" t="inlineStr">
        <is>
          <t>Sprint 3</t>
        </is>
      </c>
      <c r="C250" s="7" t="inlineStr">
        <is>
          <t>Calendario general</t>
        </is>
      </c>
      <c r="D250" s="7" t="inlineStr">
        <is>
          <t>Validar: Referente edita evento ajeno</t>
        </is>
      </c>
      <c r="E250" s="7" t="inlineStr">
        <is>
          <t>Respalda TC-101: 204</t>
        </is>
      </c>
      <c r="F250" s="7" t="inlineStr">
        <is>
          <t>Servicio con DbContext InMemory.</t>
        </is>
      </c>
      <c r="G250" s="7" t="inlineStr">
        <is>
          <t>SCRUM-16</t>
        </is>
      </c>
      <c r="H250" s="7" t="inlineStr">
        <is>
          <t>1. PUT de un Referente sobre evento de otro autor  →  204</t>
        </is>
      </c>
      <c r="I250" s="7" t="inlineStr">
        <is>
          <t>Vicaria.UnitTests › GeneralCalendarEventOperationsTests › UpdateAsync_WhenReferentUpdatesOtherUsersEvent_SucceedsAndLogsAudit</t>
        </is>
      </c>
      <c r="J250" s="7" t="inlineStr">
        <is>
          <t>OK</t>
        </is>
      </c>
      <c r="K250" s="7" t="inlineStr">
        <is>
          <t>2026-10-14</t>
        </is>
      </c>
      <c r="L250" s="7" t="inlineStr">
        <is>
          <t>Suite automatizada</t>
        </is>
      </c>
    </row>
    <row r="251">
      <c r="A251" s="7" t="inlineStr">
        <is>
          <t>TA-250</t>
        </is>
      </c>
      <c r="B251" s="7" t="inlineStr">
        <is>
          <t>Sprint 3</t>
        </is>
      </c>
      <c r="C251" s="7" t="inlineStr">
        <is>
          <t>Calendario general</t>
        </is>
      </c>
      <c r="D251" s="7" t="inlineStr">
        <is>
          <t>Validar: UpdateAsync · WhenNonAuthorAndNonReferentAttempts · ReturnsForbidden</t>
        </is>
      </c>
      <c r="E251" s="7" t="inlineStr">
        <is>
          <t>Sin TC manual asociado; descripción derivada del nombre del test.</t>
        </is>
      </c>
      <c r="F251" s="7" t="inlineStr">
        <is>
          <t>Servicio con DbContext InMemory.</t>
        </is>
      </c>
      <c r="G251" s="7" t="inlineStr">
        <is>
          <t>SCRUM-15 / SCRUM-16</t>
        </is>
      </c>
      <c r="H251" s="7" t="inlineStr"/>
      <c r="I251" s="7" t="inlineStr">
        <is>
          <t>Vicaria.UnitTests › GeneralCalendarEventOperationsTests › UpdateAsync_WhenNonAuthorAndNonReferentAttempts_ReturnsForbidden</t>
        </is>
      </c>
      <c r="J251" s="7" t="inlineStr">
        <is>
          <t>OK</t>
        </is>
      </c>
      <c r="K251" s="7" t="inlineStr">
        <is>
          <t>2026-10-14</t>
        </is>
      </c>
      <c r="L251" s="7" t="inlineStr">
        <is>
          <t>Suite automatizada</t>
        </is>
      </c>
    </row>
    <row r="252">
      <c r="A252" s="7" t="inlineStr">
        <is>
          <t>TA-251</t>
        </is>
      </c>
      <c r="B252" s="7" t="inlineStr">
        <is>
          <t>Sprint 3</t>
        </is>
      </c>
      <c r="C252" s="7" t="inlineStr">
        <is>
          <t>Calendario general</t>
        </is>
      </c>
      <c r="D252" s="7" t="inlineStr">
        <is>
          <t>Validar: UpdateAsync · WhenEventNotFound · ReturnsNotFound</t>
        </is>
      </c>
      <c r="E252" s="7" t="inlineStr">
        <is>
          <t>Sin TC manual asociado; descripción derivada del nombre del test.</t>
        </is>
      </c>
      <c r="F252" s="7" t="inlineStr">
        <is>
          <t>Servicio con DbContext InMemory.</t>
        </is>
      </c>
      <c r="G252" s="7" t="inlineStr">
        <is>
          <t>SCRUM-15 / SCRUM-16</t>
        </is>
      </c>
      <c r="H252" s="7" t="inlineStr"/>
      <c r="I252" s="7" t="inlineStr">
        <is>
          <t>Vicaria.UnitTests › GeneralCalendarEventOperationsTests › UpdateAsync_WhenEventNotFound_ReturnsNotFound</t>
        </is>
      </c>
      <c r="J252" s="7" t="inlineStr">
        <is>
          <t>OK</t>
        </is>
      </c>
      <c r="K252" s="7" t="inlineStr">
        <is>
          <t>2026-10-14</t>
        </is>
      </c>
      <c r="L252" s="7" t="inlineStr">
        <is>
          <t>Suite automatizada</t>
        </is>
      </c>
    </row>
    <row r="253">
      <c r="A253" s="7" t="inlineStr">
        <is>
          <t>TA-252</t>
        </is>
      </c>
      <c r="B253" s="7" t="inlineStr">
        <is>
          <t>Sprint 3</t>
        </is>
      </c>
      <c r="C253" s="7" t="inlineStr">
        <is>
          <t>Calendario general</t>
        </is>
      </c>
      <c r="D253" s="7" t="inlineStr">
        <is>
          <t>Validar: Eliminar evento</t>
        </is>
      </c>
      <c r="E253" s="7" t="inlineStr">
        <is>
          <t>Respalda TC-105: 204; el detalle pasa a 404; AuditLog "Evento general eliminado"</t>
        </is>
      </c>
      <c r="F253" s="7" t="inlineStr">
        <is>
          <t>Servicio con DbContext InMemory.</t>
        </is>
      </c>
      <c r="G253" s="7" t="inlineStr">
        <is>
          <t>SCRUM-16</t>
        </is>
      </c>
      <c r="H253" s="7" t="inlineStr">
        <is>
          <t>1. DELETE /api/general-calendar-events/{id}  →  204; el detalle pasa a 404; AuditLog "Evento general eliminado"</t>
        </is>
      </c>
      <c r="I253" s="7" t="inlineStr">
        <is>
          <t>Vicaria.UnitTests › GeneralCalendarEventOperationsTests › DeleteAsync_WhenAuthorDeletes_SucceedsRemovesEntityAndLogsAudit</t>
        </is>
      </c>
      <c r="J253" s="7" t="inlineStr">
        <is>
          <t>OK</t>
        </is>
      </c>
      <c r="K253" s="7" t="inlineStr">
        <is>
          <t>2026-10-14</t>
        </is>
      </c>
      <c r="L253" s="7" t="inlineStr">
        <is>
          <t>Suite automatizada</t>
        </is>
      </c>
    </row>
    <row r="254">
      <c r="A254" s="7" t="inlineStr">
        <is>
          <t>TA-253</t>
        </is>
      </c>
      <c r="B254" s="7" t="inlineStr">
        <is>
          <t>Sprint 3</t>
        </is>
      </c>
      <c r="C254" s="7" t="inlineStr">
        <is>
          <t>Calendario general</t>
        </is>
      </c>
      <c r="D254" s="7" t="inlineStr">
        <is>
          <t>Validar: DeleteAsync · WhenReferentDeletes · SucceedsRemovesEntityAndLogsAudit</t>
        </is>
      </c>
      <c r="E254" s="7" t="inlineStr">
        <is>
          <t>Sin TC manual asociado; descripción derivada del nombre del test.</t>
        </is>
      </c>
      <c r="F254" s="7" t="inlineStr">
        <is>
          <t>Servicio con DbContext InMemory.</t>
        </is>
      </c>
      <c r="G254" s="7" t="inlineStr">
        <is>
          <t>SCRUM-15 / SCRUM-16</t>
        </is>
      </c>
      <c r="H254" s="7" t="inlineStr"/>
      <c r="I254" s="7" t="inlineStr">
        <is>
          <t>Vicaria.UnitTests › GeneralCalendarEventOperationsTests › DeleteAsync_WhenReferentDeletes_SucceedsRemovesEntityAndLogsAudit</t>
        </is>
      </c>
      <c r="J254" s="7" t="inlineStr">
        <is>
          <t>OK</t>
        </is>
      </c>
      <c r="K254" s="7" t="inlineStr">
        <is>
          <t>2026-10-14</t>
        </is>
      </c>
      <c r="L254" s="7" t="inlineStr">
        <is>
          <t>Suite automatizada</t>
        </is>
      </c>
    </row>
    <row r="255">
      <c r="A255" s="7" t="inlineStr">
        <is>
          <t>TA-254</t>
        </is>
      </c>
      <c r="B255" s="7" t="inlineStr">
        <is>
          <t>Sprint 3</t>
        </is>
      </c>
      <c r="C255" s="7" t="inlineStr">
        <is>
          <t>Calendario general</t>
        </is>
      </c>
      <c r="D255" s="7" t="inlineStr">
        <is>
          <t>Validar: DeleteAsync · WhenNonAuthorAndNonReferentAttempts · ReturnsForbidden</t>
        </is>
      </c>
      <c r="E255" s="7" t="inlineStr">
        <is>
          <t>Sin TC manual asociado; descripción derivada del nombre del test.</t>
        </is>
      </c>
      <c r="F255" s="7" t="inlineStr">
        <is>
          <t>Servicio con DbContext InMemory.</t>
        </is>
      </c>
      <c r="G255" s="7" t="inlineStr">
        <is>
          <t>SCRUM-15 / SCRUM-16</t>
        </is>
      </c>
      <c r="H255" s="7" t="inlineStr"/>
      <c r="I255" s="7" t="inlineStr">
        <is>
          <t>Vicaria.UnitTests › GeneralCalendarEventOperationsTests › DeleteAsync_WhenNonAuthorAndNonReferentAttempts_ReturnsForbidden</t>
        </is>
      </c>
      <c r="J255" s="7" t="inlineStr">
        <is>
          <t>OK</t>
        </is>
      </c>
      <c r="K255" s="7" t="inlineStr">
        <is>
          <t>2026-10-14</t>
        </is>
      </c>
      <c r="L255" s="7" t="inlineStr">
        <is>
          <t>Suite automatizada</t>
        </is>
      </c>
    </row>
    <row r="256">
      <c r="A256" s="7" t="inlineStr">
        <is>
          <t>TA-255</t>
        </is>
      </c>
      <c r="B256" s="7" t="inlineStr">
        <is>
          <t>Sprint 3</t>
        </is>
      </c>
      <c r="C256" s="7" t="inlineStr">
        <is>
          <t>Calendario general</t>
        </is>
      </c>
      <c r="D256" s="7" t="inlineStr">
        <is>
          <t>Validar: DeleteAsync · WhenEventNotFound · ReturnsNotFound</t>
        </is>
      </c>
      <c r="E256" s="7" t="inlineStr">
        <is>
          <t>Sin TC manual asociado; descripción derivada del nombre del test.</t>
        </is>
      </c>
      <c r="F256" s="7" t="inlineStr">
        <is>
          <t>Servicio con DbContext InMemory.</t>
        </is>
      </c>
      <c r="G256" s="7" t="inlineStr">
        <is>
          <t>SCRUM-15 / SCRUM-16</t>
        </is>
      </c>
      <c r="H256" s="7" t="inlineStr"/>
      <c r="I256" s="7" t="inlineStr">
        <is>
          <t>Vicaria.UnitTests › GeneralCalendarEventOperationsTests › DeleteAsync_WhenEventNotFound_ReturnsNotFound</t>
        </is>
      </c>
      <c r="J256" s="7" t="inlineStr">
        <is>
          <t>OK</t>
        </is>
      </c>
      <c r="K256" s="7" t="inlineStr">
        <is>
          <t>2026-10-14</t>
        </is>
      </c>
      <c r="L256" s="7" t="inlineStr">
        <is>
          <t>Suite automatizada</t>
        </is>
      </c>
    </row>
    <row r="257">
      <c r="A257" s="7" t="inlineStr">
        <is>
          <t>TA-256</t>
        </is>
      </c>
      <c r="B257" s="7" t="inlineStr">
        <is>
          <t>Sprint 3</t>
        </is>
      </c>
      <c r="C257" s="7" t="inlineStr">
        <is>
          <t>Calendario general</t>
        </is>
      </c>
      <c r="D257" s="7" t="inlineStr">
        <is>
          <t>Validar: CreateAsync · WithValidDto · PersistsEventWithAuthorAndUtcCreatedAt</t>
        </is>
      </c>
      <c r="E257" s="7" t="inlineStr">
        <is>
          <t>Sin TC manual asociado; descripción derivada del nombre del test.</t>
        </is>
      </c>
      <c r="F257" s="7" t="inlineStr">
        <is>
          <t>Servicio con DbContext InMemory.</t>
        </is>
      </c>
      <c r="G257" s="7" t="inlineStr">
        <is>
          <t>SCRUM-15 / SCRUM-16</t>
        </is>
      </c>
      <c r="H257" s="7" t="inlineStr"/>
      <c r="I257" s="7" t="inlineStr">
        <is>
          <t>Vicaria.UnitTests › GeneralCalendarEventServiceTests › CreateAsync_WithValidDto_PersistsEventWithAuthorAndUtcCreatedAt</t>
        </is>
      </c>
      <c r="J257" s="7" t="inlineStr">
        <is>
          <t>OK</t>
        </is>
      </c>
      <c r="K257" s="7" t="inlineStr">
        <is>
          <t>2026-10-14</t>
        </is>
      </c>
      <c r="L257" s="7" t="inlineStr">
        <is>
          <t>Suite automatizada</t>
        </is>
      </c>
    </row>
    <row r="258">
      <c r="A258" s="7" t="inlineStr">
        <is>
          <t>TA-257</t>
        </is>
      </c>
      <c r="B258" s="7" t="inlineStr">
        <is>
          <t>Sprint 3</t>
        </is>
      </c>
      <c r="C258" s="7" t="inlineStr">
        <is>
          <t>Calendario general</t>
        </is>
      </c>
      <c r="D258" s="7" t="inlineStr">
        <is>
          <t>Validar: CreateAsync · WithValidDto · WritesAuditLogEntry</t>
        </is>
      </c>
      <c r="E258" s="7" t="inlineStr">
        <is>
          <t>Sin TC manual asociado; descripción derivada del nombre del test.</t>
        </is>
      </c>
      <c r="F258" s="7" t="inlineStr">
        <is>
          <t>Servicio con DbContext InMemory.</t>
        </is>
      </c>
      <c r="G258" s="7" t="inlineStr">
        <is>
          <t>SCRUM-15 / SCRUM-16</t>
        </is>
      </c>
      <c r="H258" s="7" t="inlineStr"/>
      <c r="I258" s="7" t="inlineStr">
        <is>
          <t>Vicaria.UnitTests › GeneralCalendarEventServiceTests › CreateAsync_WithValidDto_WritesAuditLogEntry</t>
        </is>
      </c>
      <c r="J258" s="7" t="inlineStr">
        <is>
          <t>OK</t>
        </is>
      </c>
      <c r="K258" s="7" t="inlineStr">
        <is>
          <t>2026-10-14</t>
        </is>
      </c>
      <c r="L258" s="7" t="inlineStr">
        <is>
          <t>Suite automatizada</t>
        </is>
      </c>
    </row>
    <row r="259">
      <c r="A259" s="7" t="inlineStr">
        <is>
          <t>TA-258</t>
        </is>
      </c>
      <c r="B259" s="7" t="inlineStr">
        <is>
          <t>Sprint 3</t>
        </is>
      </c>
      <c r="C259" s="7" t="inlineStr">
        <is>
          <t>Calendario general</t>
        </is>
      </c>
      <c r="D259" s="7" t="inlineStr">
        <is>
          <t>Validar: CreateAsync · WithoutOptionalFields · PersistsNulls</t>
        </is>
      </c>
      <c r="E259" s="7" t="inlineStr">
        <is>
          <t>Sin TC manual asociado; descripción derivada del nombre del test.</t>
        </is>
      </c>
      <c r="F259" s="7" t="inlineStr">
        <is>
          <t>Servicio con DbContext InMemory.</t>
        </is>
      </c>
      <c r="G259" s="7" t="inlineStr">
        <is>
          <t>SCRUM-15 / SCRUM-16</t>
        </is>
      </c>
      <c r="H259" s="7" t="inlineStr"/>
      <c r="I259" s="7" t="inlineStr">
        <is>
          <t>Vicaria.UnitTests › GeneralCalendarEventServiceTests › CreateAsync_WithoutOptionalFields_PersistsNulls</t>
        </is>
      </c>
      <c r="J259" s="7" t="inlineStr">
        <is>
          <t>OK</t>
        </is>
      </c>
      <c r="K259" s="7" t="inlineStr">
        <is>
          <t>2026-10-14</t>
        </is>
      </c>
      <c r="L259" s="7" t="inlineStr">
        <is>
          <t>Suite automatizada</t>
        </is>
      </c>
    </row>
    <row r="260">
      <c r="A260" s="7" t="inlineStr">
        <is>
          <t>TA-259</t>
        </is>
      </c>
      <c r="B260" s="7" t="inlineStr">
        <is>
          <t>Sprint 3</t>
        </is>
      </c>
      <c r="C260" s="7" t="inlineStr">
        <is>
          <t>Calendario general</t>
        </is>
      </c>
      <c r="D260" s="7" t="inlineStr">
        <is>
          <t>Validar: GetOccurrencesAsync · ExpandsTemplatesAndConcreteEvents</t>
        </is>
      </c>
      <c r="E260" s="7" t="inlineStr">
        <is>
          <t>Sin TC manual asociado; descripción derivada del nombre del test.</t>
        </is>
      </c>
      <c r="F260" s="7" t="inlineStr">
        <is>
          <t>Servicio con DbContext InMemory.</t>
        </is>
      </c>
      <c r="G260" s="7" t="inlineStr">
        <is>
          <t>SCRUM-15 / SCRUM-16</t>
        </is>
      </c>
      <c r="H260" s="7" t="inlineStr"/>
      <c r="I260" s="7" t="inlineStr">
        <is>
          <t>Vicaria.UnitTests › GeneralCalendarEventServiceTests › GetOccurrencesAsync_ExpandsTemplatesAndConcreteEvents</t>
        </is>
      </c>
      <c r="J260" s="7" t="inlineStr">
        <is>
          <t>OK</t>
        </is>
      </c>
      <c r="K260" s="7" t="inlineStr">
        <is>
          <t>2026-10-14</t>
        </is>
      </c>
      <c r="L260" s="7" t="inlineStr">
        <is>
          <t>Suite automatizada</t>
        </is>
      </c>
    </row>
    <row r="261">
      <c r="A261" s="7" t="inlineStr">
        <is>
          <t>TA-260</t>
        </is>
      </c>
      <c r="B261" s="7" t="inlineStr">
        <is>
          <t>Sprint 3</t>
        </is>
      </c>
      <c r="C261" s="7" t="inlineStr">
        <is>
          <t>Calendario general</t>
        </is>
      </c>
      <c r="D261" s="7" t="inlineStr">
        <is>
          <t>Validar: GetOccurrencesAsync · PaginatesExpandedOccurrences</t>
        </is>
      </c>
      <c r="E261" s="7" t="inlineStr">
        <is>
          <t>Sin TC manual asociado; descripción derivada del nombre del test.</t>
        </is>
      </c>
      <c r="F261" s="7" t="inlineStr">
        <is>
          <t>Servicio con DbContext InMemory.</t>
        </is>
      </c>
      <c r="G261" s="7" t="inlineStr">
        <is>
          <t>SCRUM-15 / SCRUM-16</t>
        </is>
      </c>
      <c r="H261" s="7" t="inlineStr"/>
      <c r="I261" s="7" t="inlineStr">
        <is>
          <t>Vicaria.UnitTests › GeneralCalendarEventServiceTests › GetOccurrencesAsync_PaginatesExpandedOccurrences</t>
        </is>
      </c>
      <c r="J261" s="7" t="inlineStr">
        <is>
          <t>OK</t>
        </is>
      </c>
      <c r="K261" s="7" t="inlineStr">
        <is>
          <t>2026-10-14</t>
        </is>
      </c>
      <c r="L261" s="7" t="inlineStr">
        <is>
          <t>Suite automatizada</t>
        </is>
      </c>
    </row>
    <row r="262">
      <c r="A262" s="7" t="inlineStr">
        <is>
          <t>TA-261</t>
        </is>
      </c>
      <c r="B262" s="7" t="inlineStr">
        <is>
          <t>Sprint 3</t>
        </is>
      </c>
      <c r="C262" s="7" t="inlineStr">
        <is>
          <t>Calendario general</t>
        </is>
      </c>
      <c r="D262" s="7" t="inlineStr">
        <is>
          <t>Validar: GetByIdAsync · ExistingEvent · ReturnsDetailWithAuthorName</t>
        </is>
      </c>
      <c r="E262" s="7" t="inlineStr">
        <is>
          <t>Sin TC manual asociado; descripción derivada del nombre del test.</t>
        </is>
      </c>
      <c r="F262" s="7" t="inlineStr">
        <is>
          <t>Servicio con DbContext InMemory.</t>
        </is>
      </c>
      <c r="G262" s="7" t="inlineStr">
        <is>
          <t>SCRUM-15 / SCRUM-16</t>
        </is>
      </c>
      <c r="H262" s="7" t="inlineStr"/>
      <c r="I262" s="7" t="inlineStr">
        <is>
          <t>Vicaria.UnitTests › GeneralCalendarEventServiceTests › GetByIdAsync_ExistingEvent_ReturnsDetailWithAuthorName</t>
        </is>
      </c>
      <c r="J262" s="7" t="inlineStr">
        <is>
          <t>OK</t>
        </is>
      </c>
      <c r="K262" s="7" t="inlineStr">
        <is>
          <t>2026-10-14</t>
        </is>
      </c>
      <c r="L262" s="7" t="inlineStr">
        <is>
          <t>Suite automatizada</t>
        </is>
      </c>
    </row>
    <row r="263">
      <c r="A263" s="7" t="inlineStr">
        <is>
          <t>TA-262</t>
        </is>
      </c>
      <c r="B263" s="7" t="inlineStr">
        <is>
          <t>Sprint 3</t>
        </is>
      </c>
      <c r="C263" s="7" t="inlineStr">
        <is>
          <t>Calendario general</t>
        </is>
      </c>
      <c r="D263" s="7" t="inlineStr">
        <is>
          <t>Validar: GetByIdAsync · UnknownId · ReturnsNull</t>
        </is>
      </c>
      <c r="E263" s="7" t="inlineStr">
        <is>
          <t>Sin TC manual asociado; descripción derivada del nombre del test.</t>
        </is>
      </c>
      <c r="F263" s="7" t="inlineStr">
        <is>
          <t>Servicio con DbContext InMemory.</t>
        </is>
      </c>
      <c r="G263" s="7" t="inlineStr">
        <is>
          <t>SCRUM-15 / SCRUM-16</t>
        </is>
      </c>
      <c r="H263" s="7" t="inlineStr"/>
      <c r="I263" s="7" t="inlineStr">
        <is>
          <t>Vicaria.UnitTests › GeneralCalendarEventServiceTests › GetByIdAsync_UnknownId_ReturnsNull</t>
        </is>
      </c>
      <c r="J263" s="7" t="inlineStr">
        <is>
          <t>OK</t>
        </is>
      </c>
      <c r="K263" s="7" t="inlineStr">
        <is>
          <t>2026-10-14</t>
        </is>
      </c>
      <c r="L263" s="7" t="inlineStr">
        <is>
          <t>Suite automatizada</t>
        </is>
      </c>
    </row>
    <row r="264">
      <c r="A264" s="7" t="inlineStr">
        <is>
          <t>TA-263</t>
        </is>
      </c>
      <c r="B264" s="7" t="inlineStr">
        <is>
          <t>Sprint 3</t>
        </is>
      </c>
      <c r="C264" s="7" t="inlineStr">
        <is>
          <t>Calendario personal</t>
        </is>
      </c>
      <c r="D264" s="7" t="inlineStr">
        <is>
          <t>Validar: Convertir personal a general</t>
        </is>
      </c>
      <c r="E264" s="7" t="inlineStr">
        <is>
          <t>Respalda TC-113: 200 con id del evento general; el personal desaparece; AuditLog</t>
        </is>
      </c>
      <c r="F264" s="7" t="inlineStr">
        <is>
          <t>Servicio con DbContext InMemory.</t>
        </is>
      </c>
      <c r="G264" s="7" t="inlineStr">
        <is>
          <t>SCRUM-17</t>
        </is>
      </c>
      <c r="H264" s="7" t="inlineStr">
        <is>
          <t>1. PUT /api/personal-calendar-events/{id}/publish  →  200 con id del evento general; el personal desaparece; AuditLog</t>
        </is>
      </c>
      <c r="I264" s="7" t="inlineStr">
        <is>
          <t>Vicaria.UnitTests › PersonalCalendarEventPublishTests › PublishAsync_WhenAuthorPublishes_MovesEventToGeneralAndLogsAudit</t>
        </is>
      </c>
      <c r="J264" s="7" t="inlineStr">
        <is>
          <t>OK</t>
        </is>
      </c>
      <c r="K264" s="7" t="inlineStr">
        <is>
          <t>2026-10-14</t>
        </is>
      </c>
      <c r="L264" s="7" t="inlineStr">
        <is>
          <t>Suite automatizada</t>
        </is>
      </c>
    </row>
    <row r="265">
      <c r="A265" s="7" t="inlineStr">
        <is>
          <t>TA-264</t>
        </is>
      </c>
      <c r="B265" s="7" t="inlineStr">
        <is>
          <t>Sprint 3</t>
        </is>
      </c>
      <c r="C265" s="7" t="inlineStr">
        <is>
          <t>Calendario personal</t>
        </is>
      </c>
      <c r="D265" s="7" t="inlineStr">
        <is>
          <t>Validar: Convertir evento ajeno o inexistente</t>
        </is>
      </c>
      <c r="E265" s="7" t="inlineStr">
        <is>
          <t>Respalda TC-114: 404</t>
        </is>
      </c>
      <c r="F265" s="7" t="inlineStr">
        <is>
          <t>Servicio con DbContext InMemory.</t>
        </is>
      </c>
      <c r="G265" s="7" t="inlineStr">
        <is>
          <t>SCRUM-17</t>
        </is>
      </c>
      <c r="H265" s="7" t="inlineStr">
        <is>
          <t>1. PUT /publish de otro usuario / id desconocido  →  404</t>
        </is>
      </c>
      <c r="I265" s="7" t="inlineStr">
        <is>
          <t>Vicaria.UnitTests › PersonalCalendarEventPublishTests › PublishAsync_WhenEventBelongsToAnotherUser_ReturnsNotFoundAndDoesNotPublish</t>
        </is>
      </c>
      <c r="J265" s="7" t="inlineStr">
        <is>
          <t>OK</t>
        </is>
      </c>
      <c r="K265" s="7" t="inlineStr">
        <is>
          <t>2026-10-14</t>
        </is>
      </c>
      <c r="L265" s="7" t="inlineStr">
        <is>
          <t>Suite automatizada</t>
        </is>
      </c>
    </row>
    <row r="266">
      <c r="A266" s="7" t="inlineStr">
        <is>
          <t>TA-265</t>
        </is>
      </c>
      <c r="B266" s="7" t="inlineStr">
        <is>
          <t>Sprint 3</t>
        </is>
      </c>
      <c r="C266" s="7" t="inlineStr">
        <is>
          <t>Calendario personal</t>
        </is>
      </c>
      <c r="D266" s="7" t="inlineStr">
        <is>
          <t>Validar: PublishAsync · WhenEventDoesNotExist · ReturnsNotFound</t>
        </is>
      </c>
      <c r="E266" s="7" t="inlineStr">
        <is>
          <t>Sin TC manual asociado; descripción derivada del nombre del test.</t>
        </is>
      </c>
      <c r="F266" s="7" t="inlineStr">
        <is>
          <t>Servicio con DbContext InMemory.</t>
        </is>
      </c>
      <c r="G266" s="7" t="inlineStr">
        <is>
          <t>SCRUM-17</t>
        </is>
      </c>
      <c r="H266" s="7" t="inlineStr"/>
      <c r="I266" s="7" t="inlineStr">
        <is>
          <t>Vicaria.UnitTests › PersonalCalendarEventPublishTests › PublishAsync_WhenEventDoesNotExist_ReturnsNotFound</t>
        </is>
      </c>
      <c r="J266" s="7" t="inlineStr">
        <is>
          <t>OK</t>
        </is>
      </c>
      <c r="K266" s="7" t="inlineStr">
        <is>
          <t>2026-10-14</t>
        </is>
      </c>
      <c r="L266" s="7" t="inlineStr">
        <is>
          <t>Suite automatizada</t>
        </is>
      </c>
    </row>
    <row r="267">
      <c r="A267" s="7" t="inlineStr">
        <is>
          <t>TA-266</t>
        </is>
      </c>
      <c r="B267" s="7" t="inlineStr">
        <is>
          <t>Sprint 3</t>
        </is>
      </c>
      <c r="C267" s="7" t="inlineStr">
        <is>
          <t>Calendario personal</t>
        </is>
      </c>
      <c r="D267" s="7" t="inlineStr">
        <is>
          <t>Validar: GetOccurrencesAsync · ReturnsOnlyEventsOwnedByActor</t>
        </is>
      </c>
      <c r="E267" s="7" t="inlineStr">
        <is>
          <t>Sin TC manual asociado; descripción derivada del nombre del test.</t>
        </is>
      </c>
      <c r="F267" s="7" t="inlineStr">
        <is>
          <t>Servicio con DbContext InMemory.</t>
        </is>
      </c>
      <c r="G267" s="7" t="inlineStr">
        <is>
          <t>SCRUM-17</t>
        </is>
      </c>
      <c r="H267" s="7" t="inlineStr"/>
      <c r="I267" s="7" t="inlineStr">
        <is>
          <t>Vicaria.UnitTests › PersonalCalendarEventServiceTests › GetOccurrencesAsync_ReturnsOnlyEventsOwnedByActor</t>
        </is>
      </c>
      <c r="J267" s="7" t="inlineStr">
        <is>
          <t>OK</t>
        </is>
      </c>
      <c r="K267" s="7" t="inlineStr">
        <is>
          <t>2026-10-14</t>
        </is>
      </c>
      <c r="L267" s="7" t="inlineStr">
        <is>
          <t>Suite automatizada</t>
        </is>
      </c>
    </row>
    <row r="268">
      <c r="A268" s="7" t="inlineStr">
        <is>
          <t>TA-267</t>
        </is>
      </c>
      <c r="B268" s="7" t="inlineStr">
        <is>
          <t>Sprint 3</t>
        </is>
      </c>
      <c r="C268" s="7" t="inlineStr">
        <is>
          <t>Calendario personal</t>
        </is>
      </c>
      <c r="D268" s="7" t="inlineStr">
        <is>
          <t>Validar: GetOccurrencesAsync · PaginatesExpandedOccurrences</t>
        </is>
      </c>
      <c r="E268" s="7" t="inlineStr">
        <is>
          <t>Sin TC manual asociado; descripción derivada del nombre del test.</t>
        </is>
      </c>
      <c r="F268" s="7" t="inlineStr">
        <is>
          <t>Servicio con DbContext InMemory.</t>
        </is>
      </c>
      <c r="G268" s="7" t="inlineStr">
        <is>
          <t>SCRUM-17</t>
        </is>
      </c>
      <c r="H268" s="7" t="inlineStr"/>
      <c r="I268" s="7" t="inlineStr">
        <is>
          <t>Vicaria.UnitTests › PersonalCalendarEventServiceTests › GetOccurrencesAsync_PaginatesExpandedOccurrences</t>
        </is>
      </c>
      <c r="J268" s="7" t="inlineStr">
        <is>
          <t>OK</t>
        </is>
      </c>
      <c r="K268" s="7" t="inlineStr">
        <is>
          <t>2026-10-14</t>
        </is>
      </c>
      <c r="L268" s="7" t="inlineStr">
        <is>
          <t>Suite automatizada</t>
        </is>
      </c>
    </row>
    <row r="269">
      <c r="A269" s="7" t="inlineStr">
        <is>
          <t>TA-268</t>
        </is>
      </c>
      <c r="B269" s="7" t="inlineStr">
        <is>
          <t>Sprint 3</t>
        </is>
      </c>
      <c r="C269" s="7" t="inlineStr">
        <is>
          <t>Calendario personal</t>
        </is>
      </c>
      <c r="D269" s="7" t="inlineStr">
        <is>
          <t>Validar: GetOccurrencesAsync · WithNoOwnedEvents · ReturnsEmptyPage</t>
        </is>
      </c>
      <c r="E269" s="7" t="inlineStr">
        <is>
          <t>Sin TC manual asociado; descripción derivada del nombre del test.</t>
        </is>
      </c>
      <c r="F269" s="7" t="inlineStr">
        <is>
          <t>Servicio con DbContext InMemory.</t>
        </is>
      </c>
      <c r="G269" s="7" t="inlineStr">
        <is>
          <t>SCRUM-17</t>
        </is>
      </c>
      <c r="H269" s="7" t="inlineStr"/>
      <c r="I269" s="7" t="inlineStr">
        <is>
          <t>Vicaria.UnitTests › PersonalCalendarEventServiceTests › GetOccurrencesAsync_WithNoOwnedEvents_ReturnsEmptyPage</t>
        </is>
      </c>
      <c r="J269" s="7" t="inlineStr">
        <is>
          <t>OK</t>
        </is>
      </c>
      <c r="K269" s="7" t="inlineStr">
        <is>
          <t>2026-10-14</t>
        </is>
      </c>
      <c r="L269" s="7" t="inlineStr">
        <is>
          <t>Suite automatizada</t>
        </is>
      </c>
    </row>
    <row r="270">
      <c r="A270" s="7" t="inlineStr">
        <is>
          <t>TA-269</t>
        </is>
      </c>
      <c r="B270" s="7" t="inlineStr">
        <is>
          <t>Sprint 3</t>
        </is>
      </c>
      <c r="C270" s="7" t="inlineStr">
        <is>
          <t>Calendario personal</t>
        </is>
      </c>
      <c r="D270" s="7" t="inlineStr">
        <is>
          <t>Validar: GetByIdAsync · OwnEvent · ReturnsDetail</t>
        </is>
      </c>
      <c r="E270" s="7" t="inlineStr">
        <is>
          <t>Sin TC manual asociado; descripción derivada del nombre del test.</t>
        </is>
      </c>
      <c r="F270" s="7" t="inlineStr">
        <is>
          <t>Servicio con DbContext InMemory.</t>
        </is>
      </c>
      <c r="G270" s="7" t="inlineStr">
        <is>
          <t>SCRUM-17</t>
        </is>
      </c>
      <c r="H270" s="7" t="inlineStr"/>
      <c r="I270" s="7" t="inlineStr">
        <is>
          <t>Vicaria.UnitTests › PersonalCalendarEventServiceTests › GetByIdAsync_OwnEvent_ReturnsDetail</t>
        </is>
      </c>
      <c r="J270" s="7" t="inlineStr">
        <is>
          <t>OK</t>
        </is>
      </c>
      <c r="K270" s="7" t="inlineStr">
        <is>
          <t>2026-10-14</t>
        </is>
      </c>
      <c r="L270" s="7" t="inlineStr">
        <is>
          <t>Suite automatizada</t>
        </is>
      </c>
    </row>
    <row r="271">
      <c r="A271" s="7" t="inlineStr">
        <is>
          <t>TA-270</t>
        </is>
      </c>
      <c r="B271" s="7" t="inlineStr">
        <is>
          <t>Sprint 3</t>
        </is>
      </c>
      <c r="C271" s="7" t="inlineStr">
        <is>
          <t>Calendario personal</t>
        </is>
      </c>
      <c r="D271" s="7" t="inlineStr">
        <is>
          <t>Validar: GetByIdAsync · OtherUsersEvent · ReturnsNull</t>
        </is>
      </c>
      <c r="E271" s="7" t="inlineStr">
        <is>
          <t>Sin TC manual asociado; descripción derivada del nombre del test.</t>
        </is>
      </c>
      <c r="F271" s="7" t="inlineStr">
        <is>
          <t>Servicio con DbContext InMemory.</t>
        </is>
      </c>
      <c r="G271" s="7" t="inlineStr">
        <is>
          <t>SCRUM-17</t>
        </is>
      </c>
      <c r="H271" s="7" t="inlineStr"/>
      <c r="I271" s="7" t="inlineStr">
        <is>
          <t>Vicaria.UnitTests › PersonalCalendarEventServiceTests › GetByIdAsync_OtherUsersEvent_ReturnsNull</t>
        </is>
      </c>
      <c r="J271" s="7" t="inlineStr">
        <is>
          <t>OK</t>
        </is>
      </c>
      <c r="K271" s="7" t="inlineStr">
        <is>
          <t>2026-10-14</t>
        </is>
      </c>
      <c r="L271" s="7" t="inlineStr">
        <is>
          <t>Suite automatizada</t>
        </is>
      </c>
    </row>
    <row r="272">
      <c r="A272" s="7" t="inlineStr">
        <is>
          <t>TA-271</t>
        </is>
      </c>
      <c r="B272" s="7" t="inlineStr">
        <is>
          <t>Sprint 3</t>
        </is>
      </c>
      <c r="C272" s="7" t="inlineStr">
        <is>
          <t>Calendario personal</t>
        </is>
      </c>
      <c r="D272" s="7" t="inlineStr">
        <is>
          <t>Validar: GetByIdAsync · UnknownId · ReturnsNull</t>
        </is>
      </c>
      <c r="E272" s="7" t="inlineStr">
        <is>
          <t>Sin TC manual asociado; descripción derivada del nombre del test.</t>
        </is>
      </c>
      <c r="F272" s="7" t="inlineStr">
        <is>
          <t>Servicio con DbContext InMemory.</t>
        </is>
      </c>
      <c r="G272" s="7" t="inlineStr">
        <is>
          <t>SCRUM-17</t>
        </is>
      </c>
      <c r="H272" s="7" t="inlineStr"/>
      <c r="I272" s="7" t="inlineStr">
        <is>
          <t>Vicaria.UnitTests › PersonalCalendarEventServiceTests › GetByIdAsync_UnknownId_ReturnsNull</t>
        </is>
      </c>
      <c r="J272" s="7" t="inlineStr">
        <is>
          <t>OK</t>
        </is>
      </c>
      <c r="K272" s="7" t="inlineStr">
        <is>
          <t>2026-10-14</t>
        </is>
      </c>
      <c r="L272" s="7" t="inlineStr">
        <is>
          <t>Suite automatizada</t>
        </is>
      </c>
    </row>
    <row r="273">
      <c r="A273" s="7" t="inlineStr">
        <is>
          <t>TA-272</t>
        </is>
      </c>
      <c r="B273" s="7" t="inlineStr">
        <is>
          <t>Sprint 3</t>
        </is>
      </c>
      <c r="C273" s="7" t="inlineStr">
        <is>
          <t>Calendario personal</t>
        </is>
      </c>
      <c r="D273" s="7" t="inlineStr">
        <is>
          <t>Validar: CreateAsync · StoresEventWithActorAsAuthor · AndOnlyOwnerSeesIt</t>
        </is>
      </c>
      <c r="E273" s="7" t="inlineStr">
        <is>
          <t>Sin TC manual asociado; descripción derivada del nombre del test.</t>
        </is>
      </c>
      <c r="F273" s="7" t="inlineStr">
        <is>
          <t>Servicio con DbContext InMemory.</t>
        </is>
      </c>
      <c r="G273" s="7" t="inlineStr">
        <is>
          <t>SCRUM-17</t>
        </is>
      </c>
      <c r="H273" s="7" t="inlineStr"/>
      <c r="I273" s="7" t="inlineStr">
        <is>
          <t>Vicaria.UnitTests › PersonalCalendarEventServiceTests › CreateAsync_StoresEventWithActorAsAuthor_AndOnlyOwnerSeesIt</t>
        </is>
      </c>
      <c r="J273" s="7" t="inlineStr">
        <is>
          <t>OK</t>
        </is>
      </c>
      <c r="K273" s="7" t="inlineStr">
        <is>
          <t>2026-10-14</t>
        </is>
      </c>
      <c r="L273" s="7" t="inlineStr">
        <is>
          <t>Suite automatizada</t>
        </is>
      </c>
    </row>
    <row r="274">
      <c r="A274" s="7" t="inlineStr">
        <is>
          <t>TA-273</t>
        </is>
      </c>
      <c r="B274" s="7" t="inlineStr">
        <is>
          <t>Sprint 3</t>
        </is>
      </c>
      <c r="C274" s="7" t="inlineStr">
        <is>
          <t>Calendario personal</t>
        </is>
      </c>
      <c r="D274" s="7" t="inlineStr">
        <is>
          <t>Validar: Editar evento propio</t>
        </is>
      </c>
      <c r="E274" s="7" t="inlineStr">
        <is>
          <t>Respalda TC-108: 204; AuditLog "Evento personal modificado"</t>
        </is>
      </c>
      <c r="F274" s="7" t="inlineStr">
        <is>
          <t>Servicio con DbContext InMemory.</t>
        </is>
      </c>
      <c r="G274" s="7" t="inlineStr">
        <is>
          <t>SCRUM-17</t>
        </is>
      </c>
      <c r="H274" s="7" t="inlineStr">
        <is>
          <t>1. PUT /api/personal-calendar-events/{id}  →  204; AuditLog "Evento personal modificado"</t>
        </is>
      </c>
      <c r="I274" s="7" t="inlineStr">
        <is>
          <t>Vicaria.UnitTests › PersonalCalendarEventUpdateDeleteTests › UpdateAsync_WhenAuthor_UpdatesFieldsAndLogsAudit</t>
        </is>
      </c>
      <c r="J274" s="7" t="inlineStr">
        <is>
          <t>OK</t>
        </is>
      </c>
      <c r="K274" s="7" t="inlineStr">
        <is>
          <t>2026-10-14</t>
        </is>
      </c>
      <c r="L274" s="7" t="inlineStr">
        <is>
          <t>Suite automatizada</t>
        </is>
      </c>
    </row>
    <row r="275">
      <c r="A275" s="7" t="inlineStr">
        <is>
          <t>TA-274</t>
        </is>
      </c>
      <c r="B275" s="7" t="inlineStr">
        <is>
          <t>Sprint 3</t>
        </is>
      </c>
      <c r="C275" s="7" t="inlineStr">
        <is>
          <t>Calendario personal</t>
        </is>
      </c>
      <c r="D275" s="7" t="inlineStr">
        <is>
          <t>Validar: Editar o borrar evento ajeno</t>
        </is>
      </c>
      <c r="E275" s="7" t="inlineStr">
        <is>
          <t>Respalda TC-109: 404 (no revela existencia)</t>
        </is>
      </c>
      <c r="F275" s="7" t="inlineStr">
        <is>
          <t>Servicio con DbContext InMemory.</t>
        </is>
      </c>
      <c r="G275" s="7" t="inlineStr">
        <is>
          <t>SCRUM-17</t>
        </is>
      </c>
      <c r="H275" s="7" t="inlineStr">
        <is>
          <t>1. PUT / DELETE de otro usuario  →  404 (no revela existencia)</t>
        </is>
      </c>
      <c r="I275" s="7" t="inlineStr">
        <is>
          <t>Vicaria.UnitTests › PersonalCalendarEventUpdateDeleteTests › UpdateAsync_WhenNotAuthor_ReturnsNotFoundAndKeepsEvent</t>
        </is>
      </c>
      <c r="J275" s="7" t="inlineStr">
        <is>
          <t>OK</t>
        </is>
      </c>
      <c r="K275" s="7" t="inlineStr">
        <is>
          <t>2026-10-14</t>
        </is>
      </c>
      <c r="L275" s="7" t="inlineStr">
        <is>
          <t>Suite automatizada</t>
        </is>
      </c>
    </row>
    <row r="276">
      <c r="A276" s="7" t="inlineStr">
        <is>
          <t>TA-275</t>
        </is>
      </c>
      <c r="B276" s="7" t="inlineStr">
        <is>
          <t>Sprint 3</t>
        </is>
      </c>
      <c r="C276" s="7" t="inlineStr">
        <is>
          <t>Calendario personal</t>
        </is>
      </c>
      <c r="D276" s="7" t="inlineStr">
        <is>
          <t>Validar: Eliminar evento propio</t>
        </is>
      </c>
      <c r="E276" s="7" t="inlineStr">
        <is>
          <t>Respalda TC-111: 204; detalle 404; AuditLog "Evento personal eliminado"</t>
        </is>
      </c>
      <c r="F276" s="7" t="inlineStr">
        <is>
          <t>Servicio con DbContext InMemory.</t>
        </is>
      </c>
      <c r="G276" s="7" t="inlineStr">
        <is>
          <t>SCRUM-17</t>
        </is>
      </c>
      <c r="H276" s="7" t="inlineStr">
        <is>
          <t>1. DELETE /api/personal-calendar-events/{id}  →  204; detalle 404; AuditLog "Evento personal eliminado"</t>
        </is>
      </c>
      <c r="I276" s="7" t="inlineStr">
        <is>
          <t>Vicaria.UnitTests › PersonalCalendarEventUpdateDeleteTests › DeleteAsync_WhenAuthor_RemovesEventAndLogsAudit</t>
        </is>
      </c>
      <c r="J276" s="7" t="inlineStr">
        <is>
          <t>OK</t>
        </is>
      </c>
      <c r="K276" s="7" t="inlineStr">
        <is>
          <t>2026-10-14</t>
        </is>
      </c>
      <c r="L276" s="7" t="inlineStr">
        <is>
          <t>Suite automatizada</t>
        </is>
      </c>
    </row>
    <row r="277">
      <c r="A277" s="7" t="inlineStr">
        <is>
          <t>TA-276</t>
        </is>
      </c>
      <c r="B277" s="7" t="inlineStr">
        <is>
          <t>Sprint 3</t>
        </is>
      </c>
      <c r="C277" s="7" t="inlineStr">
        <is>
          <t>Calendario personal</t>
        </is>
      </c>
      <c r="D277" s="7" t="inlineStr">
        <is>
          <t>Validar: DeleteAsync · WhenNotAuthor · ReturnsNotFoundAndKeepsEvent</t>
        </is>
      </c>
      <c r="E277" s="7" t="inlineStr">
        <is>
          <t>Sin TC manual asociado; descripción derivada del nombre del test.</t>
        </is>
      </c>
      <c r="F277" s="7" t="inlineStr">
        <is>
          <t>Servicio con DbContext InMemory.</t>
        </is>
      </c>
      <c r="G277" s="7" t="inlineStr">
        <is>
          <t>SCRUM-17</t>
        </is>
      </c>
      <c r="H277" s="7" t="inlineStr"/>
      <c r="I277" s="7" t="inlineStr">
        <is>
          <t>Vicaria.UnitTests › PersonalCalendarEventUpdateDeleteTests › DeleteAsync_WhenNotAuthor_ReturnsNotFoundAndKeepsEvent</t>
        </is>
      </c>
      <c r="J277" s="7" t="inlineStr">
        <is>
          <t>OK</t>
        </is>
      </c>
      <c r="K277" s="7" t="inlineStr">
        <is>
          <t>2026-10-14</t>
        </is>
      </c>
      <c r="L277" s="7" t="inlineStr">
        <is>
          <t>Suite automatizada</t>
        </is>
      </c>
    </row>
    <row r="278">
      <c r="A278" s="7" t="inlineStr">
        <is>
          <t>TA-277</t>
        </is>
      </c>
      <c r="B278" s="7" t="inlineStr">
        <is>
          <t>Sprint 3</t>
        </is>
      </c>
      <c r="C278" s="7" t="inlineStr">
        <is>
          <t>Visitas de la Casa de Convivencia</t>
        </is>
      </c>
      <c r="D278" s="7" t="inlineStr">
        <is>
          <t>Validar: Escucha sin acceso a visitas</t>
        </is>
      </c>
      <c r="E278" s="7" t="inlineStr">
        <is>
          <t>Respalda TC-128: 403</t>
        </is>
      </c>
      <c r="F278" s="7" t="inlineStr">
        <is>
          <t>Servicio con DbContext InMemory.</t>
        </is>
      </c>
      <c r="G278" s="7" t="inlineStr">
        <is>
          <t>SCRUM-74</t>
        </is>
      </c>
      <c r="H278" s="7" t="inlineStr">
        <is>
          <t>1. GET / PATCH con Esc  →  403</t>
        </is>
      </c>
      <c r="I278" s="7" t="inlineStr">
        <is>
          <t>Vicaria.UnitTests › CasonaVisitsAuthorizationTests › Controller_HasAuthorizeAttribute_RestrictedToExpectedRoles</t>
        </is>
      </c>
      <c r="J278" s="7" t="inlineStr">
        <is>
          <t>OK</t>
        </is>
      </c>
      <c r="K278" s="7" t="inlineStr">
        <is>
          <t>2026-10-14</t>
        </is>
      </c>
      <c r="L278" s="7" t="inlineStr">
        <is>
          <t>Suite automatizada</t>
        </is>
      </c>
    </row>
    <row r="279">
      <c r="A279" s="7" t="inlineStr">
        <is>
          <t>TA-278</t>
        </is>
      </c>
      <c r="B279" s="7" t="inlineStr">
        <is>
          <t>Sprint 3</t>
        </is>
      </c>
      <c r="C279" s="7" t="inlineStr">
        <is>
          <t>Visitas de la Casa de Convivencia</t>
        </is>
      </c>
      <c r="D279" s="7" t="inlineStr">
        <is>
          <t>Validar: Escucha sin acceso a visitas</t>
        </is>
      </c>
      <c r="E279" s="7" t="inlineStr">
        <is>
          <t>Respalda TC-128: 403</t>
        </is>
      </c>
      <c r="F279" s="7" t="inlineStr">
        <is>
          <t>Servicio con DbContext InMemory.</t>
        </is>
      </c>
      <c r="G279" s="7" t="inlineStr">
        <is>
          <t>SCRUM-74</t>
        </is>
      </c>
      <c r="H279" s="7" t="inlineStr">
        <is>
          <t>1. GET / PATCH con Esc  →  403</t>
        </is>
      </c>
      <c r="I279" s="7" t="inlineStr">
        <is>
          <t>Vicaria.UnitTests › CasonaVisitsAuthorizationTests › GetByRange_DoesNotAllowListenerRole</t>
        </is>
      </c>
      <c r="J279" s="7" t="inlineStr">
        <is>
          <t>OK</t>
        </is>
      </c>
      <c r="K279" s="7" t="inlineStr">
        <is>
          <t>2026-10-14</t>
        </is>
      </c>
      <c r="L279" s="7" t="inlineStr">
        <is>
          <t>Suite automatizada</t>
        </is>
      </c>
    </row>
    <row r="280">
      <c r="A280" s="7" t="inlineStr">
        <is>
          <t>TA-279</t>
        </is>
      </c>
      <c r="B280" s="7" t="inlineStr">
        <is>
          <t>Sprint 3</t>
        </is>
      </c>
      <c r="C280" s="7" t="inlineStr">
        <is>
          <t>Visitas de la Casa de Convivencia</t>
        </is>
      </c>
      <c r="D280" s="7" t="inlineStr">
        <is>
          <t>Validar: CreateAsync · WithValidDto · PersistsVisitPendingWithActorAndTrimmedName</t>
        </is>
      </c>
      <c r="E280" s="7" t="inlineStr">
        <is>
          <t>Sin TC manual asociado; descripción derivada del nombre del test.</t>
        </is>
      </c>
      <c r="F280" s="7" t="inlineStr">
        <is>
          <t>Servicio con DbContext InMemory.</t>
        </is>
      </c>
      <c r="G280" s="7" t="inlineStr">
        <is>
          <t>SCRUM-74</t>
        </is>
      </c>
      <c r="H280" s="7" t="inlineStr"/>
      <c r="I280" s="7" t="inlineStr">
        <is>
          <t>Vicaria.UnitTests › CasonaVisitServiceTests › CreateAsync_WithValidDto_PersistsVisitPendingWithActorAndTrimmedName</t>
        </is>
      </c>
      <c r="J280" s="7" t="inlineStr">
        <is>
          <t>OK</t>
        </is>
      </c>
      <c r="K280" s="7" t="inlineStr">
        <is>
          <t>2026-10-14</t>
        </is>
      </c>
      <c r="L280" s="7" t="inlineStr">
        <is>
          <t>Suite automatizada</t>
        </is>
      </c>
    </row>
    <row r="281">
      <c r="A281" s="7" t="inlineStr">
        <is>
          <t>TA-280</t>
        </is>
      </c>
      <c r="B281" s="7" t="inlineStr">
        <is>
          <t>Sprint 3</t>
        </is>
      </c>
      <c r="C281" s="7" t="inlineStr">
        <is>
          <t>Visitas de la Casa de Convivencia</t>
        </is>
      </c>
      <c r="D281" s="7" t="inlineStr">
        <is>
          <t>Validar: CreateAsync · WithValidDto · WritesAuditLogEntry</t>
        </is>
      </c>
      <c r="E281" s="7" t="inlineStr">
        <is>
          <t>Sin TC manual asociado; descripción derivada del nombre del test.</t>
        </is>
      </c>
      <c r="F281" s="7" t="inlineStr">
        <is>
          <t>Servicio con DbContext InMemory.</t>
        </is>
      </c>
      <c r="G281" s="7" t="inlineStr">
        <is>
          <t>SCRUM-74</t>
        </is>
      </c>
      <c r="H281" s="7" t="inlineStr"/>
      <c r="I281" s="7" t="inlineStr">
        <is>
          <t>Vicaria.UnitTests › CasonaVisitServiceTests › CreateAsync_WithValidDto_WritesAuditLogEntry</t>
        </is>
      </c>
      <c r="J281" s="7" t="inlineStr">
        <is>
          <t>OK</t>
        </is>
      </c>
      <c r="K281" s="7" t="inlineStr">
        <is>
          <t>2026-10-14</t>
        </is>
      </c>
      <c r="L281" s="7" t="inlineStr">
        <is>
          <t>Suite automatizada</t>
        </is>
      </c>
    </row>
    <row r="282">
      <c r="A282" s="7" t="inlineStr">
        <is>
          <t>TA-281</t>
        </is>
      </c>
      <c r="B282" s="7" t="inlineStr">
        <is>
          <t>Sprint 3</t>
        </is>
      </c>
      <c r="C282" s="7" t="inlineStr">
        <is>
          <t>Visitas de la Casa de Convivencia</t>
        </is>
      </c>
      <c r="D282" s="7" t="inlineStr">
        <is>
          <t>Validar: CreateAsync · UnknownPerson · ReturnsPersonNotFound</t>
        </is>
      </c>
      <c r="E282" s="7" t="inlineStr">
        <is>
          <t>Sin TC manual asociado; descripción derivada del nombre del test.</t>
        </is>
      </c>
      <c r="F282" s="7" t="inlineStr">
        <is>
          <t>Servicio con DbContext InMemory.</t>
        </is>
      </c>
      <c r="G282" s="7" t="inlineStr">
        <is>
          <t>SCRUM-74</t>
        </is>
      </c>
      <c r="H282" s="7" t="inlineStr"/>
      <c r="I282" s="7" t="inlineStr">
        <is>
          <t>Vicaria.UnitTests › CasonaVisitServiceTests › CreateAsync_UnknownPerson_ReturnsPersonNotFound</t>
        </is>
      </c>
      <c r="J282" s="7" t="inlineStr">
        <is>
          <t>OK</t>
        </is>
      </c>
      <c r="K282" s="7" t="inlineStr">
        <is>
          <t>2026-10-14</t>
        </is>
      </c>
      <c r="L282" s="7" t="inlineStr">
        <is>
          <t>Suite automatizada</t>
        </is>
      </c>
    </row>
    <row r="283">
      <c r="A283" s="7" t="inlineStr">
        <is>
          <t>TA-282</t>
        </is>
      </c>
      <c r="B283" s="7" t="inlineStr">
        <is>
          <t>Sprint 3</t>
        </is>
      </c>
      <c r="C283" s="7" t="inlineStr">
        <is>
          <t>Visitas de la Casa de Convivencia</t>
        </is>
      </c>
      <c r="D283" s="7" t="inlineStr">
        <is>
          <t>Validar: CreateAsync · PersonNotResident · ReturnsPersonNotResident</t>
        </is>
      </c>
      <c r="E283" s="7" t="inlineStr">
        <is>
          <t>Sin TC manual asociado; descripción derivada del nombre del test.</t>
        </is>
      </c>
      <c r="F283" s="7" t="inlineStr">
        <is>
          <t>Servicio con DbContext InMemory.</t>
        </is>
      </c>
      <c r="G283" s="7" t="inlineStr">
        <is>
          <t>SCRUM-74</t>
        </is>
      </c>
      <c r="H283" s="7" t="inlineStr"/>
      <c r="I283" s="7" t="inlineStr">
        <is>
          <t>Vicaria.UnitTests › CasonaVisitServiceTests › CreateAsync_PersonNotResident_ReturnsPersonNotResident</t>
        </is>
      </c>
      <c r="J283" s="7" t="inlineStr">
        <is>
          <t>OK</t>
        </is>
      </c>
      <c r="K283" s="7" t="inlineStr">
        <is>
          <t>2026-10-14</t>
        </is>
      </c>
      <c r="L283" s="7" t="inlineStr">
        <is>
          <t>Suite automatizada</t>
        </is>
      </c>
    </row>
    <row r="284">
      <c r="A284" s="7" t="inlineStr">
        <is>
          <t>TA-283</t>
        </is>
      </c>
      <c r="B284" s="7" t="inlineStr">
        <is>
          <t>Sprint 3</t>
        </is>
      </c>
      <c r="C284" s="7" t="inlineStr">
        <is>
          <t>Visitas de la Casa de Convivencia</t>
        </is>
      </c>
      <c r="D284" s="7" t="inlineStr">
        <is>
          <t>Validar: CreateAsync · WithoutOpenStay · ReturnsNoOpenStay</t>
        </is>
      </c>
      <c r="E284" s="7" t="inlineStr">
        <is>
          <t>Sin TC manual asociado; descripción derivada del nombre del test.</t>
        </is>
      </c>
      <c r="F284" s="7" t="inlineStr">
        <is>
          <t>Servicio con DbContext InMemory.</t>
        </is>
      </c>
      <c r="G284" s="7" t="inlineStr">
        <is>
          <t>SCRUM-74</t>
        </is>
      </c>
      <c r="H284" s="7" t="inlineStr"/>
      <c r="I284" s="7" t="inlineStr">
        <is>
          <t>Vicaria.UnitTests › CasonaVisitServiceTests › CreateAsync_WithoutOpenStay_ReturnsNoOpenStay</t>
        </is>
      </c>
      <c r="J284" s="7" t="inlineStr">
        <is>
          <t>OK</t>
        </is>
      </c>
      <c r="K284" s="7" t="inlineStr">
        <is>
          <t>2026-10-14</t>
        </is>
      </c>
      <c r="L284" s="7" t="inlineStr">
        <is>
          <t>Suite automatizada</t>
        </is>
      </c>
    </row>
    <row r="285">
      <c r="A285" s="7" t="inlineStr">
        <is>
          <t>TA-284</t>
        </is>
      </c>
      <c r="B285" s="7" t="inlineStr">
        <is>
          <t>Sprint 3</t>
        </is>
      </c>
      <c r="C285" s="7" t="inlineStr">
        <is>
          <t>Visitas de la Casa de Convivencia</t>
        </is>
      </c>
      <c r="D285" s="7" t="inlineStr">
        <is>
          <t>Validar: CreateAsync · WithOverlappingVisit · ReturnsTimeOverlap</t>
        </is>
      </c>
      <c r="E285" s="7" t="inlineStr">
        <is>
          <t>Sin TC manual asociado; descripción derivada del nombre del test.</t>
        </is>
      </c>
      <c r="F285" s="7" t="inlineStr">
        <is>
          <t>Servicio con DbContext InMemory.</t>
        </is>
      </c>
      <c r="G285" s="7" t="inlineStr">
        <is>
          <t>SCRUM-74</t>
        </is>
      </c>
      <c r="H285" s="7" t="inlineStr"/>
      <c r="I285" s="7" t="inlineStr">
        <is>
          <t>Vicaria.UnitTests › CasonaVisitServiceTests › CreateAsync_WithOverlappingVisit_ReturnsTimeOverlap</t>
        </is>
      </c>
      <c r="J285" s="7" t="inlineStr">
        <is>
          <t>OK</t>
        </is>
      </c>
      <c r="K285" s="7" t="inlineStr">
        <is>
          <t>2026-10-14</t>
        </is>
      </c>
      <c r="L285" s="7" t="inlineStr">
        <is>
          <t>Suite automatizada</t>
        </is>
      </c>
    </row>
    <row r="286">
      <c r="A286" s="7" t="inlineStr">
        <is>
          <t>TA-285</t>
        </is>
      </c>
      <c r="B286" s="7" t="inlineStr">
        <is>
          <t>Sprint 3</t>
        </is>
      </c>
      <c r="C286" s="7" t="inlineStr">
        <is>
          <t>Visitas de la Casa de Convivencia</t>
        </is>
      </c>
      <c r="D286" s="7" t="inlineStr">
        <is>
          <t>Validar: CreateAsync · WithAdjacentVisit · Ok</t>
        </is>
      </c>
      <c r="E286" s="7" t="inlineStr">
        <is>
          <t>Sin TC manual asociado; descripción derivada del nombre del test.</t>
        </is>
      </c>
      <c r="F286" s="7" t="inlineStr">
        <is>
          <t>Servicio con DbContext InMemory.</t>
        </is>
      </c>
      <c r="G286" s="7" t="inlineStr">
        <is>
          <t>SCRUM-74</t>
        </is>
      </c>
      <c r="H286" s="7" t="inlineStr"/>
      <c r="I286" s="7" t="inlineStr">
        <is>
          <t>Vicaria.UnitTests › CasonaVisitServiceTests › CreateAsync_WithAdjacentVisit_Ok</t>
        </is>
      </c>
      <c r="J286" s="7" t="inlineStr">
        <is>
          <t>OK</t>
        </is>
      </c>
      <c r="K286" s="7" t="inlineStr">
        <is>
          <t>2026-10-14</t>
        </is>
      </c>
      <c r="L286" s="7" t="inlineStr">
        <is>
          <t>Suite automatizada</t>
        </is>
      </c>
    </row>
    <row r="287">
      <c r="A287" s="7" t="inlineStr">
        <is>
          <t>TA-286</t>
        </is>
      </c>
      <c r="B287" s="7" t="inlineStr">
        <is>
          <t>Sprint 3</t>
        </is>
      </c>
      <c r="C287" s="7" t="inlineStr">
        <is>
          <t>Visitas de la Casa de Convivencia</t>
        </is>
      </c>
      <c r="D287" s="7" t="inlineStr">
        <is>
          <t>Validar: UpdateAsync · OnNonPendingVisit · ReturnsInvalidState</t>
        </is>
      </c>
      <c r="E287" s="7" t="inlineStr">
        <is>
          <t>Sin TC manual asociado; descripción derivada del nombre del test.</t>
        </is>
      </c>
      <c r="F287" s="7" t="inlineStr">
        <is>
          <t>Servicio con DbContext InMemory.</t>
        </is>
      </c>
      <c r="G287" s="7" t="inlineStr">
        <is>
          <t>SCRUM-74</t>
        </is>
      </c>
      <c r="H287" s="7" t="inlineStr"/>
      <c r="I287" s="7" t="inlineStr">
        <is>
          <t>Vicaria.UnitTests › CasonaVisitServiceTests › UpdateAsync_OnNonPendingVisit_ReturnsInvalidState</t>
        </is>
      </c>
      <c r="J287" s="7" t="inlineStr">
        <is>
          <t>OK</t>
        </is>
      </c>
      <c r="K287" s="7" t="inlineStr">
        <is>
          <t>2026-10-14</t>
        </is>
      </c>
      <c r="L287" s="7" t="inlineStr">
        <is>
          <t>Suite automatizada</t>
        </is>
      </c>
    </row>
    <row r="288">
      <c r="A288" s="7" t="inlineStr">
        <is>
          <t>TA-287</t>
        </is>
      </c>
      <c r="B288" s="7" t="inlineStr">
        <is>
          <t>Sprint 3</t>
        </is>
      </c>
      <c r="C288" s="7" t="inlineStr">
        <is>
          <t>Visitas de la Casa de Convivencia</t>
        </is>
      </c>
      <c r="D288" s="7" t="inlineStr">
        <is>
          <t>Validar: UpdateAsync · UnknownVisit · ReturnsNotFound</t>
        </is>
      </c>
      <c r="E288" s="7" t="inlineStr">
        <is>
          <t>Sin TC manual asociado; descripción derivada del nombre del test.</t>
        </is>
      </c>
      <c r="F288" s="7" t="inlineStr">
        <is>
          <t>Servicio con DbContext InMemory.</t>
        </is>
      </c>
      <c r="G288" s="7" t="inlineStr">
        <is>
          <t>SCRUM-74</t>
        </is>
      </c>
      <c r="H288" s="7" t="inlineStr"/>
      <c r="I288" s="7" t="inlineStr">
        <is>
          <t>Vicaria.UnitTests › CasonaVisitServiceTests › UpdateAsync_UnknownVisit_ReturnsNotFound</t>
        </is>
      </c>
      <c r="J288" s="7" t="inlineStr">
        <is>
          <t>OK</t>
        </is>
      </c>
      <c r="K288" s="7" t="inlineStr">
        <is>
          <t>2026-10-14</t>
        </is>
      </c>
      <c r="L288" s="7" t="inlineStr">
        <is>
          <t>Suite automatizada</t>
        </is>
      </c>
    </row>
    <row r="289">
      <c r="A289" s="7" t="inlineStr">
        <is>
          <t>TA-288</t>
        </is>
      </c>
      <c r="B289" s="7" t="inlineStr">
        <is>
          <t>Sprint 3</t>
        </is>
      </c>
      <c r="C289" s="7" t="inlineStr">
        <is>
          <t>Visitas de la Casa de Convivencia</t>
        </is>
      </c>
      <c r="D289" s="7" t="inlineStr">
        <is>
          <t>Validar: UpdateAsync · OnPendingVisit · PersistsChangesAndWritesAuditLog</t>
        </is>
      </c>
      <c r="E289" s="7" t="inlineStr">
        <is>
          <t>Sin TC manual asociado; descripción derivada del nombre del test.</t>
        </is>
      </c>
      <c r="F289" s="7" t="inlineStr">
        <is>
          <t>Servicio con DbContext InMemory.</t>
        </is>
      </c>
      <c r="G289" s="7" t="inlineStr">
        <is>
          <t>SCRUM-74</t>
        </is>
      </c>
      <c r="H289" s="7" t="inlineStr"/>
      <c r="I289" s="7" t="inlineStr">
        <is>
          <t>Vicaria.UnitTests › CasonaVisitServiceTests › UpdateAsync_OnPendingVisit_PersistsChangesAndWritesAuditLog</t>
        </is>
      </c>
      <c r="J289" s="7" t="inlineStr">
        <is>
          <t>OK</t>
        </is>
      </c>
      <c r="K289" s="7" t="inlineStr">
        <is>
          <t>2026-10-14</t>
        </is>
      </c>
      <c r="L289" s="7" t="inlineStr">
        <is>
          <t>Suite automatizada</t>
        </is>
      </c>
    </row>
    <row r="290">
      <c r="A290" s="7" t="inlineStr">
        <is>
          <t>TA-289</t>
        </is>
      </c>
      <c r="B290" s="7" t="inlineStr">
        <is>
          <t>Sprint 3</t>
        </is>
      </c>
      <c r="C290" s="7" t="inlineStr">
        <is>
          <t>Visitas de la Casa de Convivencia</t>
        </is>
      </c>
      <c r="D290" s="7" t="inlineStr">
        <is>
          <t>Validar: UpdateAsync · MarkingCompletedAPastVisit · Ok</t>
        </is>
      </c>
      <c r="E290" s="7" t="inlineStr">
        <is>
          <t>Sin TC manual asociado; descripción derivada del nombre del test.</t>
        </is>
      </c>
      <c r="F290" s="7" t="inlineStr">
        <is>
          <t>Servicio con DbContext InMemory.</t>
        </is>
      </c>
      <c r="G290" s="7" t="inlineStr">
        <is>
          <t>SCRUM-74</t>
        </is>
      </c>
      <c r="H290" s="7" t="inlineStr"/>
      <c r="I290" s="7" t="inlineStr">
        <is>
          <t>Vicaria.UnitTests › CasonaVisitServiceTests › UpdateAsync_MarkingCompletedAPastVisit_Ok</t>
        </is>
      </c>
      <c r="J290" s="7" t="inlineStr">
        <is>
          <t>OK</t>
        </is>
      </c>
      <c r="K290" s="7" t="inlineStr">
        <is>
          <t>2026-10-14</t>
        </is>
      </c>
      <c r="L290" s="7" t="inlineStr">
        <is>
          <t>Suite automatizada</t>
        </is>
      </c>
    </row>
    <row r="291">
      <c r="A291" s="7" t="inlineStr">
        <is>
          <t>TA-290</t>
        </is>
      </c>
      <c r="B291" s="7" t="inlineStr">
        <is>
          <t>Sprint 3</t>
        </is>
      </c>
      <c r="C291" s="7" t="inlineStr">
        <is>
          <t>Visitas de la Casa de Convivencia</t>
        </is>
      </c>
      <c r="D291" s="7" t="inlineStr">
        <is>
          <t>Validar: UpdateAsync · MovingVisitToPast · ReturnsVisitInPast</t>
        </is>
      </c>
      <c r="E291" s="7" t="inlineStr">
        <is>
          <t>Sin TC manual asociado; descripción derivada del nombre del test.</t>
        </is>
      </c>
      <c r="F291" s="7" t="inlineStr">
        <is>
          <t>Servicio con DbContext InMemory.</t>
        </is>
      </c>
      <c r="G291" s="7" t="inlineStr">
        <is>
          <t>SCRUM-74</t>
        </is>
      </c>
      <c r="H291" s="7" t="inlineStr"/>
      <c r="I291" s="7" t="inlineStr">
        <is>
          <t>Vicaria.UnitTests › CasonaVisitServiceTests › UpdateAsync_MovingVisitToPast_ReturnsVisitInPast</t>
        </is>
      </c>
      <c r="J291" s="7" t="inlineStr">
        <is>
          <t>OK</t>
        </is>
      </c>
      <c r="K291" s="7" t="inlineStr">
        <is>
          <t>2026-10-14</t>
        </is>
      </c>
      <c r="L291" s="7" t="inlineStr">
        <is>
          <t>Suite automatizada</t>
        </is>
      </c>
    </row>
    <row r="292">
      <c r="A292" s="7" t="inlineStr">
        <is>
          <t>TA-291</t>
        </is>
      </c>
      <c r="B292" s="7" t="inlineStr">
        <is>
          <t>Sprint 3</t>
        </is>
      </c>
      <c r="C292" s="7" t="inlineStr">
        <is>
          <t>Visitas de la Casa de Convivencia</t>
        </is>
      </c>
      <c r="D292" s="7" t="inlineStr">
        <is>
          <t>Validar: UpdateAsync · ChangingStatusToCancelled · PersistsReason</t>
        </is>
      </c>
      <c r="E292" s="7" t="inlineStr">
        <is>
          <t>Sin TC manual asociado; descripción derivada del nombre del test.</t>
        </is>
      </c>
      <c r="F292" s="7" t="inlineStr">
        <is>
          <t>Servicio con DbContext InMemory.</t>
        </is>
      </c>
      <c r="G292" s="7" t="inlineStr">
        <is>
          <t>SCRUM-74</t>
        </is>
      </c>
      <c r="H292" s="7" t="inlineStr"/>
      <c r="I292" s="7" t="inlineStr">
        <is>
          <t>Vicaria.UnitTests › CasonaVisitServiceTests › UpdateAsync_ChangingStatusToCancelled_PersistsReason</t>
        </is>
      </c>
      <c r="J292" s="7" t="inlineStr">
        <is>
          <t>OK</t>
        </is>
      </c>
      <c r="K292" s="7" t="inlineStr">
        <is>
          <t>2026-10-14</t>
        </is>
      </c>
      <c r="L292" s="7" t="inlineStr">
        <is>
          <t>Suite automatizada</t>
        </is>
      </c>
    </row>
    <row r="293">
      <c r="A293" s="7" t="inlineStr">
        <is>
          <t>TA-292</t>
        </is>
      </c>
      <c r="B293" s="7" t="inlineStr">
        <is>
          <t>Sprint 3</t>
        </is>
      </c>
      <c r="C293" s="7" t="inlineStr">
        <is>
          <t>Visitas de la Casa de Convivencia</t>
        </is>
      </c>
      <c r="D293" s="7" t="inlineStr">
        <is>
          <t>Validar: UpdateAsync · KeepingOwnSchedule · DoesNotOverlapWithItself</t>
        </is>
      </c>
      <c r="E293" s="7" t="inlineStr">
        <is>
          <t>Sin TC manual asociado; descripción derivada del nombre del test.</t>
        </is>
      </c>
      <c r="F293" s="7" t="inlineStr">
        <is>
          <t>Servicio con DbContext InMemory.</t>
        </is>
      </c>
      <c r="G293" s="7" t="inlineStr">
        <is>
          <t>SCRUM-74</t>
        </is>
      </c>
      <c r="H293" s="7" t="inlineStr"/>
      <c r="I293" s="7" t="inlineStr">
        <is>
          <t>Vicaria.UnitTests › CasonaVisitServiceTests › UpdateAsync_KeepingOwnSchedule_DoesNotOverlapWithItself</t>
        </is>
      </c>
      <c r="J293" s="7" t="inlineStr">
        <is>
          <t>OK</t>
        </is>
      </c>
      <c r="K293" s="7" t="inlineStr">
        <is>
          <t>2026-10-14</t>
        </is>
      </c>
      <c r="L293" s="7" t="inlineStr">
        <is>
          <t>Suite automatizada</t>
        </is>
      </c>
    </row>
    <row r="294">
      <c r="A294" s="7" t="inlineStr">
        <is>
          <t>TA-293</t>
        </is>
      </c>
      <c r="B294" s="7" t="inlineStr">
        <is>
          <t>Sprint 3</t>
        </is>
      </c>
      <c r="C294" s="7" t="inlineStr">
        <is>
          <t>Visitas de la Casa de Convivencia</t>
        </is>
      </c>
      <c r="D294" s="7" t="inlineStr">
        <is>
          <t>Validar: UpdateAsync · OverlappingAnotherVisit · ReturnsTimeOverlap</t>
        </is>
      </c>
      <c r="E294" s="7" t="inlineStr">
        <is>
          <t>Sin TC manual asociado; descripción derivada del nombre del test.</t>
        </is>
      </c>
      <c r="F294" s="7" t="inlineStr">
        <is>
          <t>Servicio con DbContext InMemory.</t>
        </is>
      </c>
      <c r="G294" s="7" t="inlineStr">
        <is>
          <t>SCRUM-74</t>
        </is>
      </c>
      <c r="H294" s="7" t="inlineStr"/>
      <c r="I294" s="7" t="inlineStr">
        <is>
          <t>Vicaria.UnitTests › CasonaVisitServiceTests › UpdateAsync_OverlappingAnotherVisit_ReturnsTimeOverlap</t>
        </is>
      </c>
      <c r="J294" s="7" t="inlineStr">
        <is>
          <t>OK</t>
        </is>
      </c>
      <c r="K294" s="7" t="inlineStr">
        <is>
          <t>2026-10-14</t>
        </is>
      </c>
      <c r="L294" s="7" t="inlineStr">
        <is>
          <t>Suite automatizada</t>
        </is>
      </c>
    </row>
    <row r="295">
      <c r="A295" s="7" t="inlineStr">
        <is>
          <t>TA-294</t>
        </is>
      </c>
      <c r="B295" s="7" t="inlineStr">
        <is>
          <t>Sprint 3</t>
        </is>
      </c>
      <c r="C295" s="7" t="inlineStr">
        <is>
          <t>Visitas de la Casa de Convivencia</t>
        </is>
      </c>
      <c r="D295" s="7" t="inlineStr">
        <is>
          <t>Validar: UpdateAsync · PersonNotResident · ReturnsPersonNotResident</t>
        </is>
      </c>
      <c r="E295" s="7" t="inlineStr">
        <is>
          <t>Sin TC manual asociado; descripción derivada del nombre del test.</t>
        </is>
      </c>
      <c r="F295" s="7" t="inlineStr">
        <is>
          <t>Servicio con DbContext InMemory.</t>
        </is>
      </c>
      <c r="G295" s="7" t="inlineStr">
        <is>
          <t>SCRUM-74</t>
        </is>
      </c>
      <c r="H295" s="7" t="inlineStr"/>
      <c r="I295" s="7" t="inlineStr">
        <is>
          <t>Vicaria.UnitTests › CasonaVisitServiceTests › UpdateAsync_PersonNotResident_ReturnsPersonNotResident</t>
        </is>
      </c>
      <c r="J295" s="7" t="inlineStr">
        <is>
          <t>OK</t>
        </is>
      </c>
      <c r="K295" s="7" t="inlineStr">
        <is>
          <t>2026-10-14</t>
        </is>
      </c>
      <c r="L295" s="7" t="inlineStr">
        <is>
          <t>Suite automatizada</t>
        </is>
      </c>
    </row>
    <row r="296">
      <c r="A296" s="7" t="inlineStr">
        <is>
          <t>TA-295</t>
        </is>
      </c>
      <c r="B296" s="7" t="inlineStr">
        <is>
          <t>Sprint 3</t>
        </is>
      </c>
      <c r="C296" s="7" t="inlineStr">
        <is>
          <t>Visitas de la Casa de Convivencia</t>
        </is>
      </c>
      <c r="D296" s="7" t="inlineStr">
        <is>
          <t>Validar: GetByRangeAsync · FiltersOrdersAndPaginates</t>
        </is>
      </c>
      <c r="E296" s="7" t="inlineStr">
        <is>
          <t>Sin TC manual asociado; descripción derivada del nombre del test.</t>
        </is>
      </c>
      <c r="F296" s="7" t="inlineStr">
        <is>
          <t>Servicio con DbContext InMemory.</t>
        </is>
      </c>
      <c r="G296" s="7" t="inlineStr">
        <is>
          <t>SCRUM-74</t>
        </is>
      </c>
      <c r="H296" s="7" t="inlineStr"/>
      <c r="I296" s="7" t="inlineStr">
        <is>
          <t>Vicaria.UnitTests › CasonaVisitServiceTests › GetByRangeAsync_FiltersOrdersAndPaginates</t>
        </is>
      </c>
      <c r="J296" s="7" t="inlineStr">
        <is>
          <t>OK</t>
        </is>
      </c>
      <c r="K296" s="7" t="inlineStr">
        <is>
          <t>2026-10-14</t>
        </is>
      </c>
      <c r="L296" s="7" t="inlineStr">
        <is>
          <t>Suite automatizada</t>
        </is>
      </c>
    </row>
    <row r="297">
      <c r="A297" s="7" t="inlineStr">
        <is>
          <t>TA-296</t>
        </is>
      </c>
      <c r="B297" s="7" t="inlineStr">
        <is>
          <t>Sprint 3</t>
        </is>
      </c>
      <c r="C297" s="7" t="inlineStr">
        <is>
          <t>Visitas de la Casa de Convivencia</t>
        </is>
      </c>
      <c r="D297" s="7" t="inlineStr">
        <is>
          <t>Validar: GetByRangeAsync · EmptyRange · ReturnsEmptyPagedResult</t>
        </is>
      </c>
      <c r="E297" s="7" t="inlineStr">
        <is>
          <t>Sin TC manual asociado; descripción derivada del nombre del test.</t>
        </is>
      </c>
      <c r="F297" s="7" t="inlineStr">
        <is>
          <t>Servicio con DbContext InMemory.</t>
        </is>
      </c>
      <c r="G297" s="7" t="inlineStr">
        <is>
          <t>SCRUM-74</t>
        </is>
      </c>
      <c r="H297" s="7" t="inlineStr"/>
      <c r="I297" s="7" t="inlineStr">
        <is>
          <t>Vicaria.UnitTests › CasonaVisitServiceTests › GetByRangeAsync_EmptyRange_ReturnsEmptyPagedResult</t>
        </is>
      </c>
      <c r="J297" s="7" t="inlineStr">
        <is>
          <t>OK</t>
        </is>
      </c>
      <c r="K297" s="7" t="inlineStr">
        <is>
          <t>2026-10-14</t>
        </is>
      </c>
      <c r="L297" s="7" t="inlineStr">
        <is>
          <t>Suite automatizada</t>
        </is>
      </c>
    </row>
    <row r="298">
      <c r="A298" s="7" t="inlineStr">
        <is>
          <t>TA-297</t>
        </is>
      </c>
      <c r="B298" s="7" t="inlineStr">
        <is>
          <t>Sprint 3</t>
        </is>
      </c>
      <c r="C298" s="7" t="inlineStr">
        <is>
          <t>Visitas de la Casa de Convivencia</t>
        </is>
      </c>
      <c r="D298" s="7" t="inlineStr">
        <is>
          <t>Validar: Marcar visita realizada</t>
        </is>
      </c>
      <c r="E298" s="7" t="inlineStr">
        <is>
          <t>Respalda TC-124: 204; queda Completed; AuditLog "Visita marcada como realizada"</t>
        </is>
      </c>
      <c r="F298" s="7" t="inlineStr">
        <is>
          <t>Servicio con DbContext InMemory.</t>
        </is>
      </c>
      <c r="G298" s="7" t="inlineStr">
        <is>
          <t>SCRUM-74</t>
        </is>
      </c>
      <c r="H298" s="7" t="inlineStr">
        <is>
          <t>1. PATCH /api/casona-visits/{id}/status {status: 1}  →  204; queda Completed; AuditLog "Visita marcada como realizada"</t>
        </is>
      </c>
      <c r="I298" s="7" t="inlineStr">
        <is>
          <t>Vicaria.UnitTests › CasonaVisitStatusAndOverlapTests › ChangeStatusAsync_WhenChangingToCompleted_UpdatesStatusAndLogsAudit</t>
        </is>
      </c>
      <c r="J298" s="7" t="inlineStr">
        <is>
          <t>OK</t>
        </is>
      </c>
      <c r="K298" s="7" t="inlineStr">
        <is>
          <t>2026-10-14</t>
        </is>
      </c>
      <c r="L298" s="7" t="inlineStr">
        <is>
          <t>Suite automatizada</t>
        </is>
      </c>
    </row>
    <row r="299">
      <c r="A299" s="7" t="inlineStr">
        <is>
          <t>TA-298</t>
        </is>
      </c>
      <c r="B299" s="7" t="inlineStr">
        <is>
          <t>Sprint 3</t>
        </is>
      </c>
      <c r="C299" s="7" t="inlineStr">
        <is>
          <t>Visitas de la Casa de Convivencia</t>
        </is>
      </c>
      <c r="D299" s="7" t="inlineStr">
        <is>
          <t>Validar: Cancelar con motivo</t>
        </is>
      </c>
      <c r="E299" s="7" t="inlineStr">
        <is>
          <t>Respalda TC-125: 204; guarda el motivo; AuditLog "Visita cancelada"</t>
        </is>
      </c>
      <c r="F299" s="7" t="inlineStr">
        <is>
          <t>Servicio con DbContext InMemory.</t>
        </is>
      </c>
      <c r="G299" s="7" t="inlineStr">
        <is>
          <t>SCRUM-74</t>
        </is>
      </c>
      <c r="H299" s="7" t="inlineStr">
        <is>
          <t>1. PATCH {status: 2, cancellationReason}  →  204; guarda el motivo; AuditLog "Visita cancelada"</t>
        </is>
      </c>
      <c r="I299" s="7" t="inlineStr">
        <is>
          <t>Vicaria.UnitTests › CasonaVisitStatusAndOverlapTests › ChangeStatusAsync_WhenChangingToCancelled_SavesReasonAndLogsAudit</t>
        </is>
      </c>
      <c r="J299" s="7" t="inlineStr">
        <is>
          <t>OK</t>
        </is>
      </c>
      <c r="K299" s="7" t="inlineStr">
        <is>
          <t>2026-10-14</t>
        </is>
      </c>
      <c r="L299" s="7" t="inlineStr">
        <is>
          <t>Suite automatizada</t>
        </is>
      </c>
    </row>
    <row r="300">
      <c r="A300" s="7" t="inlineStr">
        <is>
          <t>TA-299</t>
        </is>
      </c>
      <c r="B300" s="7" t="inlineStr">
        <is>
          <t>Sprint 3</t>
        </is>
      </c>
      <c r="C300" s="7" t="inlineStr">
        <is>
          <t>Visitas de la Casa de Convivencia</t>
        </is>
      </c>
      <c r="D300" s="7" t="inlineStr">
        <is>
          <t>Validar: Estado inválido / visita inexistente</t>
        </is>
      </c>
      <c r="E300" s="7" t="inlineStr">
        <is>
          <t>Respalda TC-126: 400 / 404</t>
        </is>
      </c>
      <c r="F300" s="7" t="inlineStr">
        <is>
          <t>Servicio con DbContext InMemory.</t>
        </is>
      </c>
      <c r="G300" s="7" t="inlineStr">
        <is>
          <t>SCRUM-74</t>
        </is>
      </c>
      <c r="H300" s="7" t="inlineStr">
        <is>
          <t>1. PATCH {status: 9}; id desconocido  →  400 / 404</t>
        </is>
      </c>
      <c r="I300" s="7" t="inlineStr">
        <is>
          <t>Vicaria.UnitTests › CasonaVisitStatusAndOverlapTests › ChangeStatusAsync_WhenVisitNotFound_ReturnsNotFound</t>
        </is>
      </c>
      <c r="J300" s="7" t="inlineStr">
        <is>
          <t>OK</t>
        </is>
      </c>
      <c r="K300" s="7" t="inlineStr">
        <is>
          <t>2026-10-14</t>
        </is>
      </c>
      <c r="L300" s="7" t="inlineStr">
        <is>
          <t>Suite automatizada</t>
        </is>
      </c>
    </row>
    <row r="301">
      <c r="A301" s="7" t="inlineStr">
        <is>
          <t>TA-300</t>
        </is>
      </c>
      <c r="B301" s="7" t="inlineStr">
        <is>
          <t>Sprint 3</t>
        </is>
      </c>
      <c r="C301" s="7" t="inlineStr">
        <is>
          <t>Visitas de la Casa de Convivencia</t>
        </is>
      </c>
      <c r="D301" s="7" t="inlineStr">
        <is>
          <t>Validar: Horario liberado por una cancelada</t>
        </is>
      </c>
      <c r="E301" s="7" t="inlineStr">
        <is>
          <t>Respalda TC-127: 201 (no hay conflicto)</t>
        </is>
      </c>
      <c r="F301" s="7" t="inlineStr">
        <is>
          <t>Servicio con DbContext InMemory.</t>
        </is>
      </c>
      <c r="G301" s="7" t="inlineStr">
        <is>
          <t>SCRUM-74</t>
        </is>
      </c>
      <c r="H301" s="7" t="inlineStr">
        <is>
          <t>1. Alta en el horario de una visita Cancelada  →  201 (no hay conflicto)</t>
        </is>
      </c>
      <c r="I301" s="7" t="inlineStr">
        <is>
          <t>Vicaria.UnitTests › CasonaVisitStatusAndOverlapTests › CreateAsync_WhenSlotWasOccupiedByCancelledVisit_DoesNotConflict</t>
        </is>
      </c>
      <c r="J301" s="7" t="inlineStr">
        <is>
          <t>OK</t>
        </is>
      </c>
      <c r="K301" s="7" t="inlineStr">
        <is>
          <t>2026-10-14</t>
        </is>
      </c>
      <c r="L301" s="7" t="inlineStr">
        <is>
          <t>Suite automatizada</t>
        </is>
      </c>
    </row>
    <row r="302">
      <c r="A302" s="7" t="inlineStr">
        <is>
          <t>TA-301</t>
        </is>
      </c>
      <c r="B302" s="7" t="inlineStr">
        <is>
          <t>Sprint 3</t>
        </is>
      </c>
      <c r="C302" s="7" t="inlineStr">
        <is>
          <t>Colaboradores</t>
        </is>
      </c>
      <c r="D302" s="7" t="inlineStr">
        <is>
          <t>Validar: Detalle de colaborador</t>
        </is>
      </c>
      <c r="E302" s="7" t="inlineStr">
        <is>
          <t>Respalda TC-121: 200 con datos completos, estado y quién lo registró</t>
        </is>
      </c>
      <c r="F302" s="7" t="inlineStr">
        <is>
          <t>Servicio con DbContext InMemory.</t>
        </is>
      </c>
      <c r="G302" s="7" t="inlineStr">
        <is>
          <t>SCRUM-19</t>
        </is>
      </c>
      <c r="H302" s="7" t="inlineStr">
        <is>
          <t>1. GET /api/collaborators/{id} con cualquier rol autenticado  →  200 con datos completos, estado y quién lo registró</t>
        </is>
      </c>
      <c r="I302" s="7" t="inlineStr">
        <is>
          <t>Vicaria.UnitTests › CollaboratorGetByIdTests › GetByIdAsync_WhenCollaboratorExists_ReturnsAllDetailsAndRegistrarName</t>
        </is>
      </c>
      <c r="J302" s="7" t="inlineStr">
        <is>
          <t>OK</t>
        </is>
      </c>
      <c r="K302" s="7" t="inlineStr">
        <is>
          <t>2026-10-14</t>
        </is>
      </c>
      <c r="L302" s="7" t="inlineStr">
        <is>
          <t>Suite automatizada</t>
        </is>
      </c>
    </row>
    <row r="303">
      <c r="A303" s="7" t="inlineStr">
        <is>
          <t>TA-302</t>
        </is>
      </c>
      <c r="B303" s="7" t="inlineStr">
        <is>
          <t>Sprint 3</t>
        </is>
      </c>
      <c r="C303" s="7" t="inlineStr">
        <is>
          <t>Colaboradores</t>
        </is>
      </c>
      <c r="D303" s="7" t="inlineStr">
        <is>
          <t>Validar: GetByIdAsync · WhenCollaboratorDoesNotExist · ReturnsNotFound</t>
        </is>
      </c>
      <c r="E303" s="7" t="inlineStr">
        <is>
          <t>Sin TC manual asociado; descripción derivada del nombre del test.</t>
        </is>
      </c>
      <c r="F303" s="7" t="inlineStr">
        <is>
          <t>Servicio con DbContext InMemory.</t>
        </is>
      </c>
      <c r="G303" s="7" t="inlineStr">
        <is>
          <t>SCRUM-18 / SCRUM-19</t>
        </is>
      </c>
      <c r="H303" s="7" t="inlineStr"/>
      <c r="I303" s="7" t="inlineStr">
        <is>
          <t>Vicaria.UnitTests › CollaboratorGetByIdTests › GetByIdAsync_WhenCollaboratorDoesNotExist_ReturnsNotFound</t>
        </is>
      </c>
      <c r="J303" s="7" t="inlineStr">
        <is>
          <t>OK</t>
        </is>
      </c>
      <c r="K303" s="7" t="inlineStr">
        <is>
          <t>2026-10-14</t>
        </is>
      </c>
      <c r="L303" s="7" t="inlineStr">
        <is>
          <t>Suite automatizada</t>
        </is>
      </c>
    </row>
    <row r="304">
      <c r="A304" s="7" t="inlineStr">
        <is>
          <t>TA-303</t>
        </is>
      </c>
      <c r="B304" s="7" t="inlineStr">
        <is>
          <t>Sprint 3</t>
        </is>
      </c>
      <c r="C304" s="7" t="inlineStr">
        <is>
          <t>Colaboradores</t>
        </is>
      </c>
      <c r="D304" s="7" t="inlineStr">
        <is>
          <t>Validar: SearchAsync · WithPartialFirstName · FindsCollaborator</t>
        </is>
      </c>
      <c r="E304" s="7" t="inlineStr">
        <is>
          <t>Sin TC manual asociado; descripción derivada del nombre del test.</t>
        </is>
      </c>
      <c r="F304" s="7" t="inlineStr">
        <is>
          <t>Servicio con DbContext InMemory.</t>
        </is>
      </c>
      <c r="G304" s="7" t="inlineStr">
        <is>
          <t>SCRUM-18 / SCRUM-19</t>
        </is>
      </c>
      <c r="H304" s="7" t="inlineStr"/>
      <c r="I304" s="7" t="inlineStr">
        <is>
          <t>Vicaria.UnitTests › CollaboratorSearchTests › SearchAsync_WithPartialFirstName_FindsCollaborator</t>
        </is>
      </c>
      <c r="J304" s="7" t="inlineStr">
        <is>
          <t>OK</t>
        </is>
      </c>
      <c r="K304" s="7" t="inlineStr">
        <is>
          <t>2026-10-14</t>
        </is>
      </c>
      <c r="L304" s="7" t="inlineStr">
        <is>
          <t>Suite automatizada</t>
        </is>
      </c>
    </row>
    <row r="305">
      <c r="A305" s="7" t="inlineStr">
        <is>
          <t>TA-304</t>
        </is>
      </c>
      <c r="B305" s="7" t="inlineStr">
        <is>
          <t>Sprint 3</t>
        </is>
      </c>
      <c r="C305" s="7" t="inlineStr">
        <is>
          <t>Colaboradores</t>
        </is>
      </c>
      <c r="D305" s="7" t="inlineStr">
        <is>
          <t>Validar: SearchAsync · IgnoresAccentsAndCase</t>
        </is>
      </c>
      <c r="E305" s="7" t="inlineStr">
        <is>
          <t>Sin TC manual asociado; descripción derivada del nombre del test.</t>
        </is>
      </c>
      <c r="F305" s="7" t="inlineStr">
        <is>
          <t>Servicio con DbContext InMemory.</t>
        </is>
      </c>
      <c r="G305" s="7" t="inlineStr">
        <is>
          <t>SCRUM-18 / SCRUM-19</t>
        </is>
      </c>
      <c r="H305" s="7" t="inlineStr"/>
      <c r="I305" s="7" t="inlineStr">
        <is>
          <t>Vicaria.UnitTests › CollaboratorSearchTests › SearchAsync_IgnoresAccentsAndCase</t>
        </is>
      </c>
      <c r="J305" s="7" t="inlineStr">
        <is>
          <t>OK</t>
        </is>
      </c>
      <c r="K305" s="7" t="inlineStr">
        <is>
          <t>2026-10-14</t>
        </is>
      </c>
      <c r="L305" s="7" t="inlineStr">
        <is>
          <t>Suite automatizada</t>
        </is>
      </c>
    </row>
    <row r="306">
      <c r="A306" s="7" t="inlineStr">
        <is>
          <t>TA-305</t>
        </is>
      </c>
      <c r="B306" s="7" t="inlineStr">
        <is>
          <t>Sprint 3</t>
        </is>
      </c>
      <c r="C306" s="7" t="inlineStr">
        <is>
          <t>Colaboradores</t>
        </is>
      </c>
      <c r="D306" s="7" t="inlineStr">
        <is>
          <t>Validar: SearchAsync · MatchesLastNameAndWorkArea</t>
        </is>
      </c>
      <c r="E306" s="7" t="inlineStr">
        <is>
          <t>Sin TC manual asociado; descripción derivada del nombre del test.</t>
        </is>
      </c>
      <c r="F306" s="7" t="inlineStr">
        <is>
          <t>Servicio con DbContext InMemory.</t>
        </is>
      </c>
      <c r="G306" s="7" t="inlineStr">
        <is>
          <t>SCRUM-18 / SCRUM-19</t>
        </is>
      </c>
      <c r="H306" s="7" t="inlineStr"/>
      <c r="I306" s="7" t="inlineStr">
        <is>
          <t>Vicaria.UnitTests › CollaboratorSearchTests › SearchAsync_MatchesLastNameAndWorkArea</t>
        </is>
      </c>
      <c r="J306" s="7" t="inlineStr">
        <is>
          <t>OK</t>
        </is>
      </c>
      <c r="K306" s="7" t="inlineStr">
        <is>
          <t>2026-10-14</t>
        </is>
      </c>
      <c r="L306" s="7" t="inlineStr">
        <is>
          <t>Suite automatizada</t>
        </is>
      </c>
    </row>
    <row r="307">
      <c r="A307" s="7" t="inlineStr">
        <is>
          <t>TA-306</t>
        </is>
      </c>
      <c r="B307" s="7" t="inlineStr">
        <is>
          <t>Sprint 3</t>
        </is>
      </c>
      <c r="C307" s="7" t="inlineStr">
        <is>
          <t>Colaboradores</t>
        </is>
      </c>
      <c r="D307" s="7" t="inlineStr">
        <is>
          <t>Validar: SearchAsync · WithEmptyOrNullQuery · ReturnsEmptyList</t>
        </is>
      </c>
      <c r="E307" s="7" t="inlineStr">
        <is>
          <t>Sin TC manual asociado; descripción derivada del nombre del test.</t>
        </is>
      </c>
      <c r="F307" s="7" t="inlineStr">
        <is>
          <t>Servicio con DbContext InMemory.</t>
        </is>
      </c>
      <c r="G307" s="7" t="inlineStr">
        <is>
          <t>SCRUM-18 / SCRUM-19</t>
        </is>
      </c>
      <c r="H307" s="7" t="inlineStr"/>
      <c r="I307" s="7" t="inlineStr">
        <is>
          <t>Vicaria.UnitTests › CollaboratorSearchTests › SearchAsync_WithEmptyOrNullQuery_ReturnsEmptyList</t>
        </is>
      </c>
      <c r="J307" s="7" t="inlineStr">
        <is>
          <t>OK</t>
        </is>
      </c>
      <c r="K307" s="7" t="inlineStr">
        <is>
          <t>2026-10-14</t>
        </is>
      </c>
      <c r="L307" s="7" t="inlineStr">
        <is>
          <t>Suite automatizada</t>
        </is>
      </c>
    </row>
    <row r="308">
      <c r="A308" s="7" t="inlineStr">
        <is>
          <t>TA-307</t>
        </is>
      </c>
      <c r="B308" s="7" t="inlineStr">
        <is>
          <t>Sprint 3</t>
        </is>
      </c>
      <c r="C308" s="7" t="inlineStr">
        <is>
          <t>Colaboradores</t>
        </is>
      </c>
      <c r="D308" s="7" t="inlineStr">
        <is>
          <t>Validar: SearchAsync · WithTypeFilter · ReturnsOnlyThatType</t>
        </is>
      </c>
      <c r="E308" s="7" t="inlineStr">
        <is>
          <t>Sin TC manual asociado; descripción derivada del nombre del test.</t>
        </is>
      </c>
      <c r="F308" s="7" t="inlineStr">
        <is>
          <t>Servicio con DbContext InMemory.</t>
        </is>
      </c>
      <c r="G308" s="7" t="inlineStr">
        <is>
          <t>SCRUM-18 / SCRUM-19</t>
        </is>
      </c>
      <c r="H308" s="7" t="inlineStr"/>
      <c r="I308" s="7" t="inlineStr">
        <is>
          <t>Vicaria.UnitTests › CollaboratorSearchTests › SearchAsync_WithTypeFilter_ReturnsOnlyThatType</t>
        </is>
      </c>
      <c r="J308" s="7" t="inlineStr">
        <is>
          <t>OK</t>
        </is>
      </c>
      <c r="K308" s="7" t="inlineStr">
        <is>
          <t>2026-10-14</t>
        </is>
      </c>
      <c r="L308" s="7" t="inlineStr">
        <is>
          <t>Suite automatizada</t>
        </is>
      </c>
    </row>
    <row r="309">
      <c r="A309" s="7" t="inlineStr">
        <is>
          <t>TA-308</t>
        </is>
      </c>
      <c r="B309" s="7" t="inlineStr">
        <is>
          <t>Sprint 3</t>
        </is>
      </c>
      <c r="C309" s="7" t="inlineStr">
        <is>
          <t>Colaboradores</t>
        </is>
      </c>
      <c r="D309" s="7" t="inlineStr">
        <is>
          <t>Validar: SearchAsync · WithNullLastName · ComposesFullNameWithFirstNameOnly</t>
        </is>
      </c>
      <c r="E309" s="7" t="inlineStr">
        <is>
          <t>Sin TC manual asociado; descripción derivada del nombre del test.</t>
        </is>
      </c>
      <c r="F309" s="7" t="inlineStr">
        <is>
          <t>Servicio con DbContext InMemory.</t>
        </is>
      </c>
      <c r="G309" s="7" t="inlineStr">
        <is>
          <t>SCRUM-18 / SCRUM-19</t>
        </is>
      </c>
      <c r="H309" s="7" t="inlineStr"/>
      <c r="I309" s="7" t="inlineStr">
        <is>
          <t>Vicaria.UnitTests › CollaboratorSearchTests › SearchAsync_WithNullLastName_ComposesFullNameWithFirstNameOnly</t>
        </is>
      </c>
      <c r="J309" s="7" t="inlineStr">
        <is>
          <t>OK</t>
        </is>
      </c>
      <c r="K309" s="7" t="inlineStr">
        <is>
          <t>2026-10-14</t>
        </is>
      </c>
      <c r="L309" s="7" t="inlineStr">
        <is>
          <t>Suite automatizada</t>
        </is>
      </c>
    </row>
    <row r="310">
      <c r="A310" s="7" t="inlineStr">
        <is>
          <t>TA-309</t>
        </is>
      </c>
      <c r="B310" s="7" t="inlineStr">
        <is>
          <t>Sprint 3</t>
        </is>
      </c>
      <c r="C310" s="7" t="inlineStr">
        <is>
          <t>Colaboradores</t>
        </is>
      </c>
      <c r="D310" s="7" t="inlineStr">
        <is>
          <t>Validar: SearchAsync · WithLikeWildcards · TreatsThemLiterally</t>
        </is>
      </c>
      <c r="E310" s="7" t="inlineStr">
        <is>
          <t>Sin TC manual asociado; descripción derivada del nombre del test.</t>
        </is>
      </c>
      <c r="F310" s="7" t="inlineStr">
        <is>
          <t>Servicio con DbContext InMemory.</t>
        </is>
      </c>
      <c r="G310" s="7" t="inlineStr">
        <is>
          <t>SCRUM-18 / SCRUM-19</t>
        </is>
      </c>
      <c r="H310" s="7" t="inlineStr"/>
      <c r="I310" s="7" t="inlineStr">
        <is>
          <t>Vicaria.UnitTests › CollaboratorSearchTests › SearchAsync_WithLikeWildcards_TreatsThemLiterally</t>
        </is>
      </c>
      <c r="J310" s="7" t="inlineStr">
        <is>
          <t>OK</t>
        </is>
      </c>
      <c r="K310" s="7" t="inlineStr">
        <is>
          <t>2026-10-14</t>
        </is>
      </c>
      <c r="L310" s="7" t="inlineStr">
        <is>
          <t>Suite automatizada</t>
        </is>
      </c>
    </row>
    <row r="311">
      <c r="A311" s="7" t="inlineStr">
        <is>
          <t>TA-310</t>
        </is>
      </c>
      <c r="B311" s="7" t="inlineStr">
        <is>
          <t>Sprint 3</t>
        </is>
      </c>
      <c r="C311" s="7" t="inlineStr">
        <is>
          <t>Colaboradores</t>
        </is>
      </c>
      <c r="D311" s="7" t="inlineStr">
        <is>
          <t>Validar: SearchAsync · WithoutMatches · ReturnsEmptyList</t>
        </is>
      </c>
      <c r="E311" s="7" t="inlineStr">
        <is>
          <t>Sin TC manual asociado; descripción derivada del nombre del test.</t>
        </is>
      </c>
      <c r="F311" s="7" t="inlineStr">
        <is>
          <t>Servicio con DbContext InMemory.</t>
        </is>
      </c>
      <c r="G311" s="7" t="inlineStr">
        <is>
          <t>SCRUM-18 / SCRUM-19</t>
        </is>
      </c>
      <c r="H311" s="7" t="inlineStr"/>
      <c r="I311" s="7" t="inlineStr">
        <is>
          <t>Vicaria.UnitTests › CollaboratorSearchTests › SearchAsync_WithoutMatches_ReturnsEmptyList</t>
        </is>
      </c>
      <c r="J311" s="7" t="inlineStr">
        <is>
          <t>OK</t>
        </is>
      </c>
      <c r="K311" s="7" t="inlineStr">
        <is>
          <t>2026-10-14</t>
        </is>
      </c>
      <c r="L311" s="7" t="inlineStr">
        <is>
          <t>Suite automatizada</t>
        </is>
      </c>
    </row>
    <row r="312">
      <c r="A312" s="7" t="inlineStr">
        <is>
          <t>TA-311</t>
        </is>
      </c>
      <c r="B312" s="7" t="inlineStr">
        <is>
          <t>Sprint 3</t>
        </is>
      </c>
      <c r="C312" s="7" t="inlineStr">
        <is>
          <t>Colaboradores</t>
        </is>
      </c>
      <c r="D312" s="7" t="inlineStr">
        <is>
          <t>Validar: ListAsync · ReturnsAllOrderedByNameWithRegisteredByName</t>
        </is>
      </c>
      <c r="E312" s="7" t="inlineStr">
        <is>
          <t>Sin TC manual asociado; descripción derivada del nombre del test.</t>
        </is>
      </c>
      <c r="F312" s="7" t="inlineStr">
        <is>
          <t>Servicio con DbContext InMemory.</t>
        </is>
      </c>
      <c r="G312" s="7" t="inlineStr">
        <is>
          <t>SCRUM-18 / SCRUM-19</t>
        </is>
      </c>
      <c r="H312" s="7" t="inlineStr"/>
      <c r="I312" s="7" t="inlineStr">
        <is>
          <t>Vicaria.UnitTests › CollaboratorSearchTests › ListAsync_ReturnsAllOrderedByNameWithRegisteredByName</t>
        </is>
      </c>
      <c r="J312" s="7" t="inlineStr">
        <is>
          <t>OK</t>
        </is>
      </c>
      <c r="K312" s="7" t="inlineStr">
        <is>
          <t>2026-10-14</t>
        </is>
      </c>
      <c r="L312" s="7" t="inlineStr">
        <is>
          <t>Suite automatizada</t>
        </is>
      </c>
    </row>
    <row r="313">
      <c r="A313" s="7" t="inlineStr">
        <is>
          <t>TA-312</t>
        </is>
      </c>
      <c r="B313" s="7" t="inlineStr">
        <is>
          <t>Sprint 3</t>
        </is>
      </c>
      <c r="C313" s="7" t="inlineStr">
        <is>
          <t>Colaboradores</t>
        </is>
      </c>
      <c r="D313" s="7" t="inlineStr">
        <is>
          <t>Validar: CreateAsync · WithValidDto · PersistsCollaboratorWithActorAndTrimmedValues</t>
        </is>
      </c>
      <c r="E313" s="7" t="inlineStr">
        <is>
          <t>Sin TC manual asociado; descripción derivada del nombre del test.</t>
        </is>
      </c>
      <c r="F313" s="7" t="inlineStr">
        <is>
          <t>Servicio con DbContext InMemory.</t>
        </is>
      </c>
      <c r="G313" s="7" t="inlineStr">
        <is>
          <t>SCRUM-18 / SCRUM-19</t>
        </is>
      </c>
      <c r="H313" s="7" t="inlineStr"/>
      <c r="I313" s="7" t="inlineStr">
        <is>
          <t>Vicaria.UnitTests › CollaboratorServiceTests › CreateAsync_WithValidDto_PersistsCollaboratorWithActorAndTrimmedValues</t>
        </is>
      </c>
      <c r="J313" s="7" t="inlineStr">
        <is>
          <t>OK</t>
        </is>
      </c>
      <c r="K313" s="7" t="inlineStr">
        <is>
          <t>2026-10-14</t>
        </is>
      </c>
      <c r="L313" s="7" t="inlineStr">
        <is>
          <t>Suite automatizada</t>
        </is>
      </c>
    </row>
    <row r="314">
      <c r="A314" s="7" t="inlineStr">
        <is>
          <t>TA-313</t>
        </is>
      </c>
      <c r="B314" s="7" t="inlineStr">
        <is>
          <t>Sprint 3</t>
        </is>
      </c>
      <c r="C314" s="7" t="inlineStr">
        <is>
          <t>Colaboradores</t>
        </is>
      </c>
      <c r="D314" s="7" t="inlineStr">
        <is>
          <t>Validar: CreateAsync · WithValidDto · WritesAuditLogEntry</t>
        </is>
      </c>
      <c r="E314" s="7" t="inlineStr">
        <is>
          <t>Sin TC manual asociado; descripción derivada del nombre del test.</t>
        </is>
      </c>
      <c r="F314" s="7" t="inlineStr">
        <is>
          <t>Servicio con DbContext InMemory.</t>
        </is>
      </c>
      <c r="G314" s="7" t="inlineStr">
        <is>
          <t>SCRUM-18 / SCRUM-19</t>
        </is>
      </c>
      <c r="H314" s="7" t="inlineStr"/>
      <c r="I314" s="7" t="inlineStr">
        <is>
          <t>Vicaria.UnitTests › CollaboratorServiceTests › CreateAsync_WithValidDto_WritesAuditLogEntry</t>
        </is>
      </c>
      <c r="J314" s="7" t="inlineStr">
        <is>
          <t>OK</t>
        </is>
      </c>
      <c r="K314" s="7" t="inlineStr">
        <is>
          <t>2026-10-14</t>
        </is>
      </c>
      <c r="L314" s="7" t="inlineStr">
        <is>
          <t>Suite automatizada</t>
        </is>
      </c>
    </row>
    <row r="315">
      <c r="A315" s="7" t="inlineStr">
        <is>
          <t>TA-314</t>
        </is>
      </c>
      <c r="B315" s="7" t="inlineStr">
        <is>
          <t>Sprint 3</t>
        </is>
      </c>
      <c r="C315" s="7" t="inlineStr">
        <is>
          <t>Colaboradores</t>
        </is>
      </c>
      <c r="D315" s="7" t="inlineStr">
        <is>
          <t>Validar: CreateAsync · WithNullOptionalFields · PersistsNulls</t>
        </is>
      </c>
      <c r="E315" s="7" t="inlineStr">
        <is>
          <t>Sin TC manual asociado; descripción derivada del nombre del test.</t>
        </is>
      </c>
      <c r="F315" s="7" t="inlineStr">
        <is>
          <t>Servicio con DbContext InMemory.</t>
        </is>
      </c>
      <c r="G315" s="7" t="inlineStr">
        <is>
          <t>SCRUM-18 / SCRUM-19</t>
        </is>
      </c>
      <c r="H315" s="7" t="inlineStr"/>
      <c r="I315" s="7" t="inlineStr">
        <is>
          <t>Vicaria.UnitTests › CollaboratorServiceTests › CreateAsync_WithNullOptionalFields_PersistsNulls</t>
        </is>
      </c>
      <c r="J315" s="7" t="inlineStr">
        <is>
          <t>OK</t>
        </is>
      </c>
      <c r="K315" s="7" t="inlineStr">
        <is>
          <t>2026-10-14</t>
        </is>
      </c>
      <c r="L315" s="7" t="inlineStr">
        <is>
          <t>Suite automatizada</t>
        </is>
      </c>
    </row>
    <row r="316">
      <c r="A316" s="7" t="inlineStr">
        <is>
          <t>TA-315</t>
        </is>
      </c>
      <c r="B316" s="7" t="inlineStr">
        <is>
          <t>Sprint 3</t>
        </is>
      </c>
      <c r="C316" s="7" t="inlineStr">
        <is>
          <t>Colaboradores</t>
        </is>
      </c>
      <c r="D316" s="7" t="inlineStr">
        <is>
          <t>Validar: CreateAsync · WithNullDni · Twice · BothPersist</t>
        </is>
      </c>
      <c r="E316" s="7" t="inlineStr">
        <is>
          <t>Sin TC manual asociado; descripción derivada del nombre del test.</t>
        </is>
      </c>
      <c r="F316" s="7" t="inlineStr">
        <is>
          <t>Servicio con DbContext InMemory.</t>
        </is>
      </c>
      <c r="G316" s="7" t="inlineStr">
        <is>
          <t>SCRUM-18 / SCRUM-19</t>
        </is>
      </c>
      <c r="H316" s="7" t="inlineStr"/>
      <c r="I316" s="7" t="inlineStr">
        <is>
          <t>Vicaria.UnitTests › CollaboratorServiceTests › CreateAsync_WithNullDni_Twice_BothPersist</t>
        </is>
      </c>
      <c r="J316" s="7" t="inlineStr">
        <is>
          <t>OK</t>
        </is>
      </c>
      <c r="K316" s="7" t="inlineStr">
        <is>
          <t>2026-10-14</t>
        </is>
      </c>
      <c r="L316" s="7" t="inlineStr">
        <is>
          <t>Suite automatizada</t>
        </is>
      </c>
    </row>
    <row r="317">
      <c r="A317" s="7" t="inlineStr">
        <is>
          <t>TA-316</t>
        </is>
      </c>
      <c r="B317" s="7" t="inlineStr">
        <is>
          <t>Sprint 3</t>
        </is>
      </c>
      <c r="C317" s="7" t="inlineStr">
        <is>
          <t>Colaboradores</t>
        </is>
      </c>
      <c r="D317" s="7" t="inlineStr">
        <is>
          <t>Validar: CreateAsync · WithDuplicateDni · ReturnsDuplicateDniAndPersistsNothing</t>
        </is>
      </c>
      <c r="E317" s="7" t="inlineStr">
        <is>
          <t>Sin TC manual asociado; descripción derivada del nombre del test.</t>
        </is>
      </c>
      <c r="F317" s="7" t="inlineStr">
        <is>
          <t>Servicio con DbContext InMemory.</t>
        </is>
      </c>
      <c r="G317" s="7" t="inlineStr">
        <is>
          <t>SCRUM-18 / SCRUM-19</t>
        </is>
      </c>
      <c r="H317" s="7" t="inlineStr"/>
      <c r="I317" s="7" t="inlineStr">
        <is>
          <t>Vicaria.UnitTests › CollaboratorServiceTests › CreateAsync_WithDuplicateDni_ReturnsDuplicateDniAndPersistsNothing</t>
        </is>
      </c>
      <c r="J317" s="7" t="inlineStr">
        <is>
          <t>OK</t>
        </is>
      </c>
      <c r="K317" s="7" t="inlineStr">
        <is>
          <t>2026-10-14</t>
        </is>
      </c>
      <c r="L317" s="7" t="inlineStr">
        <is>
          <t>Suite automatizada</t>
        </is>
      </c>
    </row>
    <row r="318">
      <c r="A318" s="7" t="inlineStr">
        <is>
          <t>TA-317</t>
        </is>
      </c>
      <c r="B318" s="7" t="inlineStr">
        <is>
          <t>Sprint 3</t>
        </is>
      </c>
      <c r="C318" s="7" t="inlineStr">
        <is>
          <t>Colaboradores</t>
        </is>
      </c>
      <c r="D318" s="7" t="inlineStr">
        <is>
          <t>Validar: CreateAsync · WithSameDniInDifferentFormat · ReturnsDuplicateDni</t>
        </is>
      </c>
      <c r="E318" s="7" t="inlineStr">
        <is>
          <t>Sin TC manual asociado; descripción derivada del nombre del test.</t>
        </is>
      </c>
      <c r="F318" s="7" t="inlineStr">
        <is>
          <t>Servicio con DbContext InMemory.</t>
        </is>
      </c>
      <c r="G318" s="7" t="inlineStr">
        <is>
          <t>SCRUM-18 / SCRUM-19</t>
        </is>
      </c>
      <c r="H318" s="7" t="inlineStr"/>
      <c r="I318" s="7" t="inlineStr">
        <is>
          <t>Vicaria.UnitTests › CollaboratorServiceTests › CreateAsync_WithSameDniInDifferentFormat_ReturnsDuplicateDni</t>
        </is>
      </c>
      <c r="J318" s="7" t="inlineStr">
        <is>
          <t>OK</t>
        </is>
      </c>
      <c r="K318" s="7" t="inlineStr">
        <is>
          <t>2026-10-14</t>
        </is>
      </c>
      <c r="L318" s="7" t="inlineStr">
        <is>
          <t>Suite automatizada</t>
        </is>
      </c>
    </row>
    <row r="319">
      <c r="A319" s="7" t="inlineStr">
        <is>
          <t>TA-318</t>
        </is>
      </c>
      <c r="B319" s="7" t="inlineStr">
        <is>
          <t>Sprint 3</t>
        </is>
      </c>
      <c r="C319" s="7" t="inlineStr">
        <is>
          <t>Colaboradores</t>
        </is>
      </c>
      <c r="D319" s="7" t="inlineStr">
        <is>
          <t>Validar: CreateAsync · WithDifferentDni · Succeeds</t>
        </is>
      </c>
      <c r="E319" s="7" t="inlineStr">
        <is>
          <t>Sin TC manual asociado; descripción derivada del nombre del test.</t>
        </is>
      </c>
      <c r="F319" s="7" t="inlineStr">
        <is>
          <t>Servicio con DbContext InMemory.</t>
        </is>
      </c>
      <c r="G319" s="7" t="inlineStr">
        <is>
          <t>SCRUM-18 / SCRUM-19</t>
        </is>
      </c>
      <c r="H319" s="7" t="inlineStr"/>
      <c r="I319" s="7" t="inlineStr">
        <is>
          <t>Vicaria.UnitTests › CollaboratorServiceTests › CreateAsync_WithDifferentDni_Succeeds</t>
        </is>
      </c>
      <c r="J319" s="7" t="inlineStr">
        <is>
          <t>OK</t>
        </is>
      </c>
      <c r="K319" s="7" t="inlineStr">
        <is>
          <t>2026-10-14</t>
        </is>
      </c>
      <c r="L319" s="7" t="inlineStr">
        <is>
          <t>Suite automatizada</t>
        </is>
      </c>
    </row>
    <row r="320">
      <c r="A320" s="7" t="inlineStr">
        <is>
          <t>TA-319</t>
        </is>
      </c>
      <c r="B320" s="7" t="inlineStr">
        <is>
          <t>Sprint 3</t>
        </is>
      </c>
      <c r="C320" s="7" t="inlineStr">
        <is>
          <t>Colaboradores</t>
        </is>
      </c>
      <c r="D320" s="7" t="inlineStr">
        <is>
          <t>Validar: Editar colaborador</t>
        </is>
      </c>
      <c r="E320" s="7" t="inlineStr">
        <is>
          <t>Respalda TC-115: 204; el detalle refleja los cambios; AuditLog "Colaborador modificado"</t>
        </is>
      </c>
      <c r="F320" s="7" t="inlineStr">
        <is>
          <t>Servicio con DbContext InMemory.</t>
        </is>
      </c>
      <c r="G320" s="7" t="inlineStr">
        <is>
          <t>SCRUM-18</t>
        </is>
      </c>
      <c r="H320" s="7" t="inlineStr">
        <is>
          <t>1. PUT /api/collaborators/{id} con Ref  →  204; el detalle refleja los cambios; AuditLog "Colaborador modificado"</t>
        </is>
      </c>
      <c r="I320" s="7" t="inlineStr">
        <is>
          <t>Vicaria.UnitTests › CollaboratorUpdateTests › UpdateAsync_WithValidDto_UpdatesFieldsAndTrimsValues</t>
        </is>
      </c>
      <c r="J320" s="7" t="inlineStr">
        <is>
          <t>OK</t>
        </is>
      </c>
      <c r="K320" s="7" t="inlineStr">
        <is>
          <t>2026-10-14</t>
        </is>
      </c>
      <c r="L320" s="7" t="inlineStr">
        <is>
          <t>Suite automatizada</t>
        </is>
      </c>
    </row>
    <row r="321">
      <c r="A321" s="7" t="inlineStr">
        <is>
          <t>TA-320</t>
        </is>
      </c>
      <c r="B321" s="7" t="inlineStr">
        <is>
          <t>Sprint 3</t>
        </is>
      </c>
      <c r="C321" s="7" t="inlineStr">
        <is>
          <t>Colaboradores</t>
        </is>
      </c>
      <c r="D321" s="7" t="inlineStr">
        <is>
          <t>Validar: DNI duplicado al editar</t>
        </is>
      </c>
      <c r="E321" s="7" t="inlineStr">
        <is>
          <t>Respalda TC-118: 409; conservar el propio DNI es válido</t>
        </is>
      </c>
      <c r="F321" s="7" t="inlineStr">
        <is>
          <t>Servicio con DbContext InMemory.</t>
        </is>
      </c>
      <c r="G321" s="7" t="inlineStr">
        <is>
          <t>SCRUM-18</t>
        </is>
      </c>
      <c r="H321" s="7" t="inlineStr">
        <is>
          <t>1. PUT con DNI de otro colaborador  →  409; conservar el propio DNI es válido</t>
        </is>
      </c>
      <c r="I321" s="7" t="inlineStr">
        <is>
          <t>Vicaria.UnitTests › CollaboratorUpdateTests › UpdateAsync_WhenKeepingSameDni_Succeeds</t>
        </is>
      </c>
      <c r="J321" s="7" t="inlineStr">
        <is>
          <t>OK</t>
        </is>
      </c>
      <c r="K321" s="7" t="inlineStr">
        <is>
          <t>2026-10-14</t>
        </is>
      </c>
      <c r="L321" s="7" t="inlineStr">
        <is>
          <t>Suite automatizada</t>
        </is>
      </c>
    </row>
    <row r="322">
      <c r="A322" s="7" t="inlineStr">
        <is>
          <t>TA-321</t>
        </is>
      </c>
      <c r="B322" s="7" t="inlineStr">
        <is>
          <t>Sprint 3</t>
        </is>
      </c>
      <c r="C322" s="7" t="inlineStr">
        <is>
          <t>Colaboradores</t>
        </is>
      </c>
      <c r="D322" s="7" t="inlineStr">
        <is>
          <t>Validar: UpdateAsync · WithNonExistentId · ReturnsNotFound</t>
        </is>
      </c>
      <c r="E322" s="7" t="inlineStr">
        <is>
          <t>Sin TC manual asociado; descripción derivada del nombre del test.</t>
        </is>
      </c>
      <c r="F322" s="7" t="inlineStr">
        <is>
          <t>Servicio con DbContext InMemory.</t>
        </is>
      </c>
      <c r="G322" s="7" t="inlineStr">
        <is>
          <t>SCRUM-18 / SCRUM-19</t>
        </is>
      </c>
      <c r="H322" s="7" t="inlineStr"/>
      <c r="I322" s="7" t="inlineStr">
        <is>
          <t>Vicaria.UnitTests › CollaboratorUpdateTests › UpdateAsync_WithNonExistentId_ReturnsNotFound</t>
        </is>
      </c>
      <c r="J322" s="7" t="inlineStr">
        <is>
          <t>OK</t>
        </is>
      </c>
      <c r="K322" s="7" t="inlineStr">
        <is>
          <t>2026-10-14</t>
        </is>
      </c>
      <c r="L322" s="7" t="inlineStr">
        <is>
          <t>Suite automatizada</t>
        </is>
      </c>
    </row>
    <row r="323">
      <c r="A323" s="7" t="inlineStr">
        <is>
          <t>TA-322</t>
        </is>
      </c>
      <c r="B323" s="7" t="inlineStr">
        <is>
          <t>Sprint 3</t>
        </is>
      </c>
      <c r="C323" s="7" t="inlineStr">
        <is>
          <t>Colaboradores</t>
        </is>
      </c>
      <c r="D323" s="7" t="inlineStr">
        <is>
          <t>Validar: UpdateAsync · WithDuplicateDniBelongingToAnotherCollaborator · ReturnsDuplicateDni</t>
        </is>
      </c>
      <c r="E323" s="7" t="inlineStr">
        <is>
          <t>Sin TC manual asociado; descripción derivada del nombre del test.</t>
        </is>
      </c>
      <c r="F323" s="7" t="inlineStr">
        <is>
          <t>Servicio con DbContext InMemory.</t>
        </is>
      </c>
      <c r="G323" s="7" t="inlineStr">
        <is>
          <t>SCRUM-18 / SCRUM-19</t>
        </is>
      </c>
      <c r="H323" s="7" t="inlineStr"/>
      <c r="I323" s="7" t="inlineStr">
        <is>
          <t>Vicaria.UnitTests › CollaboratorUpdateTests › UpdateAsync_WithDuplicateDniBelongingToAnotherCollaborator_ReturnsDuplicateDni</t>
        </is>
      </c>
      <c r="J323" s="7" t="inlineStr">
        <is>
          <t>OK</t>
        </is>
      </c>
      <c r="K323" s="7" t="inlineStr">
        <is>
          <t>2026-10-14</t>
        </is>
      </c>
      <c r="L323" s="7" t="inlineStr">
        <is>
          <t>Suite automatizada</t>
        </is>
      </c>
    </row>
    <row r="324">
      <c r="A324" s="7" t="inlineStr">
        <is>
          <t>TA-323</t>
        </is>
      </c>
      <c r="B324" s="7" t="inlineStr">
        <is>
          <t>Sprint 3</t>
        </is>
      </c>
      <c r="C324" s="7" t="inlineStr">
        <is>
          <t>Colaboradores</t>
        </is>
      </c>
      <c r="D324" s="7" t="inlineStr">
        <is>
          <t>Validar: Baja lógica</t>
        </is>
      </c>
      <c r="E324" s="7" t="inlineStr">
        <is>
          <t>Respalda TC-116: 204; el listado lo marca inactivo; AuditLog "Colaborador dado de baja"</t>
        </is>
      </c>
      <c r="F324" s="7" t="inlineStr">
        <is>
          <t>Servicio con DbContext InMemory.</t>
        </is>
      </c>
      <c r="G324" s="7" t="inlineStr">
        <is>
          <t>SCRUM-18</t>
        </is>
      </c>
      <c r="H324" s="7" t="inlineStr">
        <is>
          <t>1. PUT con isActive: false  →  204; el listado lo marca inactivo; AuditLog "Colaborador dado de baja"</t>
        </is>
      </c>
      <c r="I324" s="7" t="inlineStr">
        <is>
          <t>Vicaria.UnitTests › CollaboratorUpdateTests › UpdateAsync_WhenDeactivating_WritesDeactivatedAuditLog</t>
        </is>
      </c>
      <c r="J324" s="7" t="inlineStr">
        <is>
          <t>OK</t>
        </is>
      </c>
      <c r="K324" s="7" t="inlineStr">
        <is>
          <t>2026-10-14</t>
        </is>
      </c>
      <c r="L324" s="7" t="inlineStr">
        <is>
          <t>Suite automatizada</t>
        </is>
      </c>
    </row>
    <row r="325">
      <c r="A325" s="7" t="inlineStr">
        <is>
          <t>TA-324</t>
        </is>
      </c>
      <c r="B325" s="7" t="inlineStr">
        <is>
          <t>Sprint 3</t>
        </is>
      </c>
      <c r="C325" s="7" t="inlineStr">
        <is>
          <t>Colaboradores</t>
        </is>
      </c>
      <c r="D325" s="7" t="inlineStr">
        <is>
          <t>Validar: Reactivación</t>
        </is>
      </c>
      <c r="E325" s="7" t="inlineStr">
        <is>
          <t>Respalda TC-117: 204; AuditLog "Colaborador reactivado"</t>
        </is>
      </c>
      <c r="F325" s="7" t="inlineStr">
        <is>
          <t>Servicio con DbContext InMemory.</t>
        </is>
      </c>
      <c r="G325" s="7" t="inlineStr">
        <is>
          <t>SCRUM-18</t>
        </is>
      </c>
      <c r="H325" s="7" t="inlineStr">
        <is>
          <t>1. PUT con isActive: true sobre uno inactivo  →  204; AuditLog "Colaborador reactivado"</t>
        </is>
      </c>
      <c r="I325" s="7" t="inlineStr">
        <is>
          <t>Vicaria.UnitTests › CollaboratorUpdateTests › UpdateAsync_WhenReactivating_WritesReactivatedAuditLog</t>
        </is>
      </c>
      <c r="J325" s="7" t="inlineStr">
        <is>
          <t>OK</t>
        </is>
      </c>
      <c r="K325" s="7" t="inlineStr">
        <is>
          <t>2026-10-14</t>
        </is>
      </c>
      <c r="L325" s="7" t="inlineStr">
        <is>
          <t>Suite automatizada</t>
        </is>
      </c>
    </row>
    <row r="326">
      <c r="A326" s="7" t="inlineStr">
        <is>
          <t>TA-325</t>
        </is>
      </c>
      <c r="B326" s="7" t="inlineStr">
        <is>
          <t>Sprint 3</t>
        </is>
      </c>
      <c r="C326" s="7" t="inlineStr">
        <is>
          <t>Colaboradores</t>
        </is>
      </c>
      <c r="D326" s="7" t="inlineStr">
        <is>
          <t>Validar: UpdateAsync · WhenOnlyModifyingData · WritesModifiedAuditLog</t>
        </is>
      </c>
      <c r="E326" s="7" t="inlineStr">
        <is>
          <t>Sin TC manual asociado; descripción derivada del nombre del test.</t>
        </is>
      </c>
      <c r="F326" s="7" t="inlineStr">
        <is>
          <t>Servicio con DbContext InMemory.</t>
        </is>
      </c>
      <c r="G326" s="7" t="inlineStr">
        <is>
          <t>SCRUM-18 / SCRUM-19</t>
        </is>
      </c>
      <c r="H326" s="7" t="inlineStr"/>
      <c r="I326" s="7" t="inlineStr">
        <is>
          <t>Vicaria.UnitTests › CollaboratorUpdateTests › UpdateAsync_WhenOnlyModifyingData_WritesModifiedAuditLog</t>
        </is>
      </c>
      <c r="J326" s="7" t="inlineStr">
        <is>
          <t>OK</t>
        </is>
      </c>
      <c r="K326" s="7" t="inlineStr">
        <is>
          <t>2026-10-14</t>
        </is>
      </c>
      <c r="L326" s="7" t="inlineStr">
        <is>
          <t>Suite automatizada</t>
        </is>
      </c>
    </row>
    <row r="327">
      <c r="A327" s="7" t="inlineStr">
        <is>
          <t>TA-326</t>
        </is>
      </c>
      <c r="B327" s="7" t="inlineStr">
        <is>
          <t>Sprint 3</t>
        </is>
      </c>
      <c r="C327" s="7" t="inlineStr">
        <is>
          <t>Calendario general</t>
        </is>
      </c>
      <c r="D327" s="7" t="inlineStr">
        <is>
          <t>Validar: Evento mensual</t>
        </is>
      </c>
      <c r="E327" s="7" t="inlineStr">
        <is>
          <t>Respalda TC-137: Aparece el mismo día de cada mes; no aparece otros días ni antes de su fecha</t>
        </is>
      </c>
      <c r="F327" s="7" t="inlineStr">
        <is>
          <t>API levantada con WebApplicationFactory.</t>
        </is>
      </c>
      <c r="G327" s="7" t="inlineStr">
        <is>
          <t>SCRUM-16</t>
        </is>
      </c>
      <c r="H327" s="7" t="inlineStr">
        <is>
          <t>1. POST /api/general-calendar-events con repeatsMonthly: true y consultar el mismo día de meses posteriores  →  Aparece el mismo día de cada mes; no aparece otros días ni antes de su fecha</t>
        </is>
      </c>
      <c r="I327" s="7" t="inlineStr">
        <is>
          <t>Vicaria.IntegrationTests › GeneralCalendarEventsEndpointTests › Post_MonthlyEvent_AppearsOnSameDayOfLaterMonths</t>
        </is>
      </c>
      <c r="J327" s="7" t="inlineStr">
        <is>
          <t>OK</t>
        </is>
      </c>
      <c r="K327" s="7" t="inlineStr">
        <is>
          <t>2026-10-14</t>
        </is>
      </c>
      <c r="L327" s="7" t="inlineStr">
        <is>
          <t>Suite automatizada</t>
        </is>
      </c>
    </row>
    <row r="328">
      <c r="A328" s="7" t="inlineStr">
        <is>
          <t>TA-327</t>
        </is>
      </c>
      <c r="B328" s="7" t="inlineStr">
        <is>
          <t>Sprint 3</t>
        </is>
      </c>
      <c r="C328" s="7" t="inlineStr">
        <is>
          <t>Calendario general</t>
        </is>
      </c>
      <c r="D328" s="7" t="inlineStr">
        <is>
          <t>Validar: Serie iniciada antes del rango</t>
        </is>
      </c>
      <c r="E328" s="7" t="inlineStr">
        <is>
          <t>Respalda TC-139: Se muestra (antes solo aparecía en su semana de inicio)</t>
        </is>
      </c>
      <c r="F328" s="7" t="inlineStr">
        <is>
          <t>API levantada con WebApplicationFactory.</t>
        </is>
      </c>
      <c r="G328" s="7" t="inlineStr">
        <is>
          <t>SCRUM-16</t>
        </is>
      </c>
      <c r="H328" s="7" t="inlineStr">
        <is>
          <t>1. Evento semanal creado en octubre, consultar una semana de diciembre  →  Se muestra (antes solo aparecía en su semana de inicio)</t>
        </is>
      </c>
      <c r="I328" s="7" t="inlineStr">
        <is>
          <t>Vicaria.IntegrationTests › GeneralCalendarEventsEndpointTests › Post_WeeklyEventStartedBeforeRange_AppearsInLaterWeeks</t>
        </is>
      </c>
      <c r="J328" s="7" t="inlineStr">
        <is>
          <t>OK</t>
        </is>
      </c>
      <c r="K328" s="7" t="inlineStr">
        <is>
          <t>2026-10-14</t>
        </is>
      </c>
      <c r="L328" s="7" t="inlineStr">
        <is>
          <t>Suite automatizada</t>
        </is>
      </c>
    </row>
    <row r="329">
      <c r="A329" s="7" t="inlineStr">
        <is>
          <t>TA-328</t>
        </is>
      </c>
      <c r="B329" s="7" t="inlineStr">
        <is>
          <t>Sprint 3</t>
        </is>
      </c>
      <c r="C329" s="7" t="inlineStr">
        <is>
          <t>Calendario general</t>
        </is>
      </c>
      <c r="D329" s="7" t="inlineStr">
        <is>
          <t>Validar: Mensual combinado con días</t>
        </is>
      </c>
      <c r="E329" s="7" t="inlineStr">
        <is>
          <t>Respalda TC-140: 400</t>
        </is>
      </c>
      <c r="F329" s="7" t="inlineStr">
        <is>
          <t>API levantada con WebApplicationFactory.</t>
        </is>
      </c>
      <c r="G329" s="7" t="inlineStr">
        <is>
          <t>SCRUM-16</t>
        </is>
      </c>
      <c r="H329" s="7" t="inlineStr">
        <is>
          <t>1. repeatsMonthly: true y recurrenceDays con valor  →  400</t>
        </is>
      </c>
      <c r="I329" s="7" t="inlineStr">
        <is>
          <t>Vicaria.IntegrationTests › GeneralCalendarEventsEndpointTests › Post_MonthlyCombinedWithWeekDays_Returns400</t>
        </is>
      </c>
      <c r="J329" s="7" t="inlineStr">
        <is>
          <t>OK</t>
        </is>
      </c>
      <c r="K329" s="7" t="inlineStr">
        <is>
          <t>2026-10-14</t>
        </is>
      </c>
      <c r="L329" s="7" t="inlineStr">
        <is>
          <t>Suite automatizada</t>
        </is>
      </c>
    </row>
    <row r="330">
      <c r="A330" s="7" t="inlineStr">
        <is>
          <t>TA-329</t>
        </is>
      </c>
      <c r="B330" s="7" t="inlineStr">
        <is>
          <t>Sprint 3</t>
        </is>
      </c>
      <c r="C330" s="7" t="inlineStr">
        <is>
          <t>Calendario general</t>
        </is>
      </c>
      <c r="D330" s="7" t="inlineStr">
        <is>
          <t>Validar: Pasar un evento a mensual</t>
        </is>
      </c>
      <c r="E330" s="7" t="inlineStr">
        <is>
          <t>Respalda TC-141: 204; el detalle informa repeatsMonthly</t>
        </is>
      </c>
      <c r="F330" s="7" t="inlineStr">
        <is>
          <t>API levantada con WebApplicationFactory.</t>
        </is>
      </c>
      <c r="G330" s="7" t="inlineStr">
        <is>
          <t>SCRUM-16</t>
        </is>
      </c>
      <c r="H330" s="7" t="inlineStr">
        <is>
          <t>1. PUT con repeatsMonthly: true  →  204; el detalle informa repeatsMonthly</t>
        </is>
      </c>
      <c r="I330" s="7" t="inlineStr">
        <is>
          <t>Vicaria.IntegrationTests › GeneralCalendarEventsEndpointTests › Put_TurnsEventIntoMonthly_AndDetailReportsIt</t>
        </is>
      </c>
      <c r="J330" s="7" t="inlineStr">
        <is>
          <t>OK</t>
        </is>
      </c>
      <c r="K330" s="7" t="inlineStr">
        <is>
          <t>2026-10-14</t>
        </is>
      </c>
      <c r="L330" s="7" t="inlineStr">
        <is>
          <t>Suite automatizada</t>
        </is>
      </c>
    </row>
    <row r="331">
      <c r="A331" s="7" t="inlineStr">
        <is>
          <t>TA-330</t>
        </is>
      </c>
      <c r="B331" s="7" t="inlineStr">
        <is>
          <t>Sprint 3</t>
        </is>
      </c>
      <c r="C331" s="7" t="inlineStr">
        <is>
          <t>Calendario general</t>
        </is>
      </c>
      <c r="D331" s="7" t="inlineStr">
        <is>
          <t>Validar: Editar evento (Referente)</t>
        </is>
      </c>
      <c r="E331" s="7" t="inlineStr">
        <is>
          <t>Respalda TC-100: 204; el detalle refleja el cambio; AuditLog "Evento general modificado"</t>
        </is>
      </c>
      <c r="F331" s="7" t="inlineStr">
        <is>
          <t>API levantada con WebApplicationFactory.</t>
        </is>
      </c>
      <c r="G331" s="7" t="inlineStr">
        <is>
          <t>SCRUM-16</t>
        </is>
      </c>
      <c r="H331" s="7" t="inlineStr">
        <is>
          <t>1. PUT /api/general-calendar-events/{id} con nuevos datos  →  204; el detalle refleja el cambio; AuditLog "Evento general modificado"</t>
        </is>
      </c>
      <c r="I331" s="7" t="inlineStr">
        <is>
          <t>Vicaria.IntegrationTests › GeneralCalendarEventsEndpointTests › Put_ByReferent_Returns204AndChangesDetail</t>
        </is>
      </c>
      <c r="J331" s="7" t="inlineStr">
        <is>
          <t>OK</t>
        </is>
      </c>
      <c r="K331" s="7" t="inlineStr">
        <is>
          <t>2026-10-14</t>
        </is>
      </c>
      <c r="L331" s="7" t="inlineStr">
        <is>
          <t>Suite automatizada</t>
        </is>
      </c>
    </row>
    <row r="332">
      <c r="A332" s="7" t="inlineStr">
        <is>
          <t>TA-331</t>
        </is>
      </c>
      <c r="B332" s="7" t="inlineStr">
        <is>
          <t>Sprint 3</t>
        </is>
      </c>
      <c r="C332" s="7" t="inlineStr">
        <is>
          <t>Calendario general</t>
        </is>
      </c>
      <c r="D332" s="7" t="inlineStr">
        <is>
          <t>Validar: Título vacío al editar</t>
        </is>
      </c>
      <c r="E332" s="7" t="inlineStr">
        <is>
          <t>Respalda TC-103: 400</t>
        </is>
      </c>
      <c r="F332" s="7" t="inlineStr">
        <is>
          <t>API levantada con WebApplicationFactory.</t>
        </is>
      </c>
      <c r="G332" s="7" t="inlineStr">
        <is>
          <t>SCRUM-16</t>
        </is>
      </c>
      <c r="H332" s="7" t="inlineStr">
        <is>
          <t>1. PUT con title vacío  →  400</t>
        </is>
      </c>
      <c r="I332" s="7" t="inlineStr">
        <is>
          <t>Vicaria.IntegrationTests › GeneralCalendarEventsEndpointTests › Put_WithEmptyTitle_Returns400</t>
        </is>
      </c>
      <c r="J332" s="7" t="inlineStr">
        <is>
          <t>OK</t>
        </is>
      </c>
      <c r="K332" s="7" t="inlineStr">
        <is>
          <t>2026-10-14</t>
        </is>
      </c>
      <c r="L332" s="7" t="inlineStr">
        <is>
          <t>Suite automatizada</t>
        </is>
      </c>
    </row>
    <row r="333">
      <c r="A333" s="7" t="inlineStr">
        <is>
          <t>TA-332</t>
        </is>
      </c>
      <c r="B333" s="7" t="inlineStr">
        <is>
          <t>Sprint 3</t>
        </is>
      </c>
      <c r="C333" s="7" t="inlineStr">
        <is>
          <t>Calendario general</t>
        </is>
      </c>
      <c r="D333" s="7" t="inlineStr">
        <is>
          <t>Validar: Evento inexistente</t>
        </is>
      </c>
      <c r="E333" s="7" t="inlineStr">
        <is>
          <t>Respalda TC-104: 404</t>
        </is>
      </c>
      <c r="F333" s="7" t="inlineStr">
        <is>
          <t>API levantada con WebApplicationFactory.</t>
        </is>
      </c>
      <c r="G333" s="7" t="inlineStr">
        <is>
          <t>SCRUM-16</t>
        </is>
      </c>
      <c r="H333" s="7" t="inlineStr">
        <is>
          <t>1. PUT / DELETE con id desconocido  →  404</t>
        </is>
      </c>
      <c r="I333" s="7" t="inlineStr">
        <is>
          <t>Vicaria.IntegrationTests › GeneralCalendarEventsEndpointTests › Put_UnknownEvent_Returns404</t>
        </is>
      </c>
      <c r="J333" s="7" t="inlineStr">
        <is>
          <t>OK</t>
        </is>
      </c>
      <c r="K333" s="7" t="inlineStr">
        <is>
          <t>2026-10-14</t>
        </is>
      </c>
      <c r="L333" s="7" t="inlineStr">
        <is>
          <t>Suite automatizada</t>
        </is>
      </c>
    </row>
    <row r="334">
      <c r="A334" s="7" t="inlineStr">
        <is>
          <t>TA-333</t>
        </is>
      </c>
      <c r="B334" s="7" t="inlineStr">
        <is>
          <t>Sprint 3</t>
        </is>
      </c>
      <c r="C334" s="7" t="inlineStr">
        <is>
          <t>Calendario general</t>
        </is>
      </c>
      <c r="D334" s="7" t="inlineStr">
        <is>
          <t>Validar: Sin permiso sobre evento ajeno</t>
        </is>
      </c>
      <c r="E334" s="7" t="inlineStr">
        <is>
          <t>Respalda TC-102: 403</t>
        </is>
      </c>
      <c r="F334" s="7" t="inlineStr">
        <is>
          <t>API levantada con WebApplicationFactory.</t>
        </is>
      </c>
      <c r="G334" s="7" t="inlineStr">
        <is>
          <t>SCRUM-16</t>
        </is>
      </c>
      <c r="H334" s="7" t="inlineStr">
        <is>
          <t>1. PUT / DELETE de un no-autor y no-Referente  →  403</t>
        </is>
      </c>
      <c r="I334" s="7" t="inlineStr">
        <is>
          <t>Vicaria.IntegrationTests › GeneralCalendarEventsEndpointTests › Put_ByNonAuthorNonReferent_Returns403</t>
        </is>
      </c>
      <c r="J334" s="7" t="inlineStr">
        <is>
          <t>OK</t>
        </is>
      </c>
      <c r="K334" s="7" t="inlineStr">
        <is>
          <t>2026-10-14</t>
        </is>
      </c>
      <c r="L334" s="7" t="inlineStr">
        <is>
          <t>Suite automatizada</t>
        </is>
      </c>
    </row>
    <row r="335">
      <c r="A335" s="7" t="inlineStr">
        <is>
          <t>TA-334</t>
        </is>
      </c>
      <c r="B335" s="7" t="inlineStr">
        <is>
          <t>Sprint 3</t>
        </is>
      </c>
      <c r="C335" s="7" t="inlineStr">
        <is>
          <t>Calendario general</t>
        </is>
      </c>
      <c r="D335" s="7" t="inlineStr">
        <is>
          <t>Validar: Eliminar evento</t>
        </is>
      </c>
      <c r="E335" s="7" t="inlineStr">
        <is>
          <t>Respalda TC-105: 204; el detalle pasa a 404; AuditLog "Evento general eliminado"</t>
        </is>
      </c>
      <c r="F335" s="7" t="inlineStr">
        <is>
          <t>API levantada con WebApplicationFactory.</t>
        </is>
      </c>
      <c r="G335" s="7" t="inlineStr">
        <is>
          <t>SCRUM-16</t>
        </is>
      </c>
      <c r="H335" s="7" t="inlineStr">
        <is>
          <t>1. DELETE /api/general-calendar-events/{id}  →  204; el detalle pasa a 404; AuditLog "Evento general eliminado"</t>
        </is>
      </c>
      <c r="I335" s="7" t="inlineStr">
        <is>
          <t>Vicaria.IntegrationTests › GeneralCalendarEventsEndpointTests › Delete_ByReferent_Returns204ThenDetailIs404</t>
        </is>
      </c>
      <c r="J335" s="7" t="inlineStr">
        <is>
          <t>OK</t>
        </is>
      </c>
      <c r="K335" s="7" t="inlineStr">
        <is>
          <t>2026-10-14</t>
        </is>
      </c>
      <c r="L335" s="7" t="inlineStr">
        <is>
          <t>Suite automatizada</t>
        </is>
      </c>
    </row>
    <row r="336">
      <c r="A336" s="7" t="inlineStr">
        <is>
          <t>TA-335</t>
        </is>
      </c>
      <c r="B336" s="7" t="inlineStr">
        <is>
          <t>Sprint 3</t>
        </is>
      </c>
      <c r="C336" s="7" t="inlineStr">
        <is>
          <t>Calendario general</t>
        </is>
      </c>
      <c r="D336" s="7" t="inlineStr">
        <is>
          <t>Validar: Sin permiso sobre evento ajeno</t>
        </is>
      </c>
      <c r="E336" s="7" t="inlineStr">
        <is>
          <t>Respalda TC-102: 403</t>
        </is>
      </c>
      <c r="F336" s="7" t="inlineStr">
        <is>
          <t>API levantada con WebApplicationFactory.</t>
        </is>
      </c>
      <c r="G336" s="7" t="inlineStr">
        <is>
          <t>SCRUM-16</t>
        </is>
      </c>
      <c r="H336" s="7" t="inlineStr">
        <is>
          <t>1. PUT / DELETE de un no-autor y no-Referente  →  403</t>
        </is>
      </c>
      <c r="I336" s="7" t="inlineStr">
        <is>
          <t>Vicaria.IntegrationTests › GeneralCalendarEventsEndpointTests › Delete_ByNonAuthorNonReferent_Returns403</t>
        </is>
      </c>
      <c r="J336" s="7" t="inlineStr">
        <is>
          <t>OK</t>
        </is>
      </c>
      <c r="K336" s="7" t="inlineStr">
        <is>
          <t>2026-10-14</t>
        </is>
      </c>
      <c r="L336" s="7" t="inlineStr">
        <is>
          <t>Suite automatizada</t>
        </is>
      </c>
    </row>
    <row r="337">
      <c r="A337" s="7" t="inlineStr">
        <is>
          <t>TA-336</t>
        </is>
      </c>
      <c r="B337" s="7" t="inlineStr">
        <is>
          <t>Sprint 3</t>
        </is>
      </c>
      <c r="C337" s="7" t="inlineStr">
        <is>
          <t>Calendario general</t>
        </is>
      </c>
      <c r="D337" s="7" t="inlineStr">
        <is>
          <t>Validar: Evento inexistente</t>
        </is>
      </c>
      <c r="E337" s="7" t="inlineStr">
        <is>
          <t>Respalda TC-104: 404</t>
        </is>
      </c>
      <c r="F337" s="7" t="inlineStr">
        <is>
          <t>API levantada con WebApplicationFactory.</t>
        </is>
      </c>
      <c r="G337" s="7" t="inlineStr">
        <is>
          <t>SCRUM-16</t>
        </is>
      </c>
      <c r="H337" s="7" t="inlineStr">
        <is>
          <t>1. PUT / DELETE con id desconocido  →  404</t>
        </is>
      </c>
      <c r="I337" s="7" t="inlineStr">
        <is>
          <t>Vicaria.IntegrationTests › GeneralCalendarEventsEndpointTests › Delete_UnknownEvent_Returns404</t>
        </is>
      </c>
      <c r="J337" s="7" t="inlineStr">
        <is>
          <t>OK</t>
        </is>
      </c>
      <c r="K337" s="7" t="inlineStr">
        <is>
          <t>2026-10-14</t>
        </is>
      </c>
      <c r="L337" s="7" t="inlineStr">
        <is>
          <t>Suite automatizada</t>
        </is>
      </c>
    </row>
    <row r="338">
      <c r="A338" s="7" t="inlineStr">
        <is>
          <t>TA-337</t>
        </is>
      </c>
      <c r="B338" s="7" t="inlineStr">
        <is>
          <t>Sprint 3</t>
        </is>
      </c>
      <c r="C338" s="7" t="inlineStr">
        <is>
          <t>Calendario general</t>
        </is>
      </c>
      <c r="D338" s="7" t="inlineStr">
        <is>
          <t>Validar: Crear evento (Referente)</t>
        </is>
      </c>
      <c r="E338" s="7" t="inlineStr">
        <is>
          <t>Respalda TC-46: 201 con id</t>
        </is>
      </c>
      <c r="F338" s="7" t="inlineStr">
        <is>
          <t>API levantada con WebApplicationFactory.</t>
        </is>
      </c>
      <c r="G338" s="7" t="inlineStr">
        <is>
          <t>SCRUM-</t>
        </is>
      </c>
      <c r="H338" s="7" t="inlineStr">
        <is>
          <t>1. POST /api/general-calendar-events {title, date, startTime, endTime}  →  201 con id</t>
        </is>
      </c>
      <c r="I338" s="7" t="inlineStr">
        <is>
          <t>Vicaria.IntegrationTests › GeneralCalendarEventsEndpointTests › Post_WithReferentRole_Returns201WithId</t>
        </is>
      </c>
      <c r="J338" s="7" t="inlineStr">
        <is>
          <t>OK</t>
        </is>
      </c>
      <c r="K338" s="7" t="inlineStr">
        <is>
          <t>2026-10-14</t>
        </is>
      </c>
      <c r="L338" s="7" t="inlineStr">
        <is>
          <t>Suite automatizada</t>
        </is>
      </c>
    </row>
    <row r="339">
      <c r="A339" s="7" t="inlineStr">
        <is>
          <t>TA-338</t>
        </is>
      </c>
      <c r="B339" s="7" t="inlineStr">
        <is>
          <t>Sprint 3</t>
        </is>
      </c>
      <c r="C339" s="7" t="inlineStr">
        <is>
          <t>Calendario general</t>
        </is>
      </c>
      <c r="D339" s="7" t="inlineStr">
        <is>
          <t>Validar: Crear con rol no permitido</t>
        </is>
      </c>
      <c r="E339" s="7" t="inlineStr">
        <is>
          <t>Respalda TC-47: 403</t>
        </is>
      </c>
      <c r="F339" s="7" t="inlineStr">
        <is>
          <t>API levantada con WebApplicationFactory.</t>
        </is>
      </c>
      <c r="G339" s="7" t="inlineStr">
        <is>
          <t>SCRUM-</t>
        </is>
      </c>
      <c r="H339" s="7" t="inlineStr">
        <is>
          <t>1. Mismo POST con Dir / Esc / Coo  →  403</t>
        </is>
      </c>
      <c r="I339" s="7" t="inlineStr">
        <is>
          <t>Vicaria.IntegrationTests › GeneralCalendarEventsEndpointTests › Post_WithNonReferentRoles_Returns403</t>
        </is>
      </c>
      <c r="J339" s="7" t="inlineStr">
        <is>
          <t>OK</t>
        </is>
      </c>
      <c r="K339" s="7" t="inlineStr">
        <is>
          <t>2026-10-14</t>
        </is>
      </c>
      <c r="L339" s="7" t="inlineStr">
        <is>
          <t>Suite automatizada</t>
        </is>
      </c>
    </row>
    <row r="340">
      <c r="A340" s="7" t="inlineStr">
        <is>
          <t>TA-339</t>
        </is>
      </c>
      <c r="B340" s="7" t="inlineStr">
        <is>
          <t>Sprint 3</t>
        </is>
      </c>
      <c r="C340" s="7" t="inlineStr">
        <is>
          <t>Calendario general</t>
        </is>
      </c>
      <c r="D340" s="7" t="inlineStr">
        <is>
          <t>Validar: Sin sesión</t>
        </is>
      </c>
      <c r="E340" s="7" t="inlineStr">
        <is>
          <t>Respalda TC-48: 401</t>
        </is>
      </c>
      <c r="F340" s="7" t="inlineStr">
        <is>
          <t>API levantada con WebApplicationFactory.</t>
        </is>
      </c>
      <c r="G340" s="7" t="inlineStr">
        <is>
          <t>SCRUM-</t>
        </is>
      </c>
      <c r="H340" s="7" t="inlineStr">
        <is>
          <t>1. POST sin token  →  401</t>
        </is>
      </c>
      <c r="I340" s="7" t="inlineStr">
        <is>
          <t>Vicaria.IntegrationTests › GeneralCalendarEventsEndpointTests › Post_WithoutToken_Returns401</t>
        </is>
      </c>
      <c r="J340" s="7" t="inlineStr">
        <is>
          <t>OK</t>
        </is>
      </c>
      <c r="K340" s="7" t="inlineStr">
        <is>
          <t>2026-10-14</t>
        </is>
      </c>
      <c r="L340" s="7" t="inlineStr">
        <is>
          <t>Suite automatizada</t>
        </is>
      </c>
    </row>
    <row r="341">
      <c r="A341" s="7" t="inlineStr">
        <is>
          <t>TA-340</t>
        </is>
      </c>
      <c r="B341" s="7" t="inlineStr">
        <is>
          <t>Sprint 3</t>
        </is>
      </c>
      <c r="C341" s="7" t="inlineStr">
        <is>
          <t>Calendario general</t>
        </is>
      </c>
      <c r="D341" s="7" t="inlineStr">
        <is>
          <t>Validar: Título obligatorio</t>
        </is>
      </c>
      <c r="E341" s="7" t="inlineStr">
        <is>
          <t>Respalda TC-49: 400 "El título del evento es obligatorio."</t>
        </is>
      </c>
      <c r="F341" s="7" t="inlineStr">
        <is>
          <t>API levantada con WebApplicationFactory.</t>
        </is>
      </c>
      <c r="G341" s="7" t="inlineStr">
        <is>
          <t>SCRUM-</t>
        </is>
      </c>
      <c r="H341" s="7" t="inlineStr">
        <is>
          <t>1. title vacío  →  400 "El título del evento es obligatorio."</t>
        </is>
      </c>
      <c r="I341" s="7" t="inlineStr">
        <is>
          <t>Vicaria.IntegrationTests › GeneralCalendarEventsEndpointTests › Post_WithMissingTitle_Returns400</t>
        </is>
      </c>
      <c r="J341" s="7" t="inlineStr">
        <is>
          <t>OK</t>
        </is>
      </c>
      <c r="K341" s="7" t="inlineStr">
        <is>
          <t>2026-10-14</t>
        </is>
      </c>
      <c r="L341" s="7" t="inlineStr">
        <is>
          <t>Suite automatizada</t>
        </is>
      </c>
    </row>
    <row r="342">
      <c r="A342" s="7" t="inlineStr">
        <is>
          <t>TA-341</t>
        </is>
      </c>
      <c r="B342" s="7" t="inlineStr">
        <is>
          <t>Sprint 3</t>
        </is>
      </c>
      <c r="C342" s="7" t="inlineStr">
        <is>
          <t>Calendario general</t>
        </is>
      </c>
      <c r="D342" s="7" t="inlineStr">
        <is>
          <t>Validar: Hora fin ≤ inicio</t>
        </is>
      </c>
      <c r="E342" s="7" t="inlineStr">
        <is>
          <t>Respalda TC-50: 400 "La hora de fin debe ser posterior a la hora de inicio."</t>
        </is>
      </c>
      <c r="F342" s="7" t="inlineStr">
        <is>
          <t>API levantada con WebApplicationFactory.</t>
        </is>
      </c>
      <c r="G342" s="7" t="inlineStr">
        <is>
          <t>SCRUM-</t>
        </is>
      </c>
      <c r="H342" s="7" t="inlineStr">
        <is>
          <t>1. endTime &lt;= startTime  →  400 "La hora de fin debe ser posterior a la hora de inicio."</t>
        </is>
      </c>
      <c r="I342" s="7" t="inlineStr">
        <is>
          <t>Vicaria.IntegrationTests › GeneralCalendarEventsEndpointTests › Post_WithEndTimeNotAfterStartTime_Returns400</t>
        </is>
      </c>
      <c r="J342" s="7" t="inlineStr">
        <is>
          <t>OK</t>
        </is>
      </c>
      <c r="K342" s="7" t="inlineStr">
        <is>
          <t>2026-10-14</t>
        </is>
      </c>
      <c r="L342" s="7" t="inlineStr">
        <is>
          <t>Suite automatizada</t>
        </is>
      </c>
    </row>
    <row r="343">
      <c r="A343" s="7" t="inlineStr">
        <is>
          <t>TA-342</t>
        </is>
      </c>
      <c r="B343" s="7" t="inlineStr">
        <is>
          <t>Sprint 3</t>
        </is>
      </c>
      <c r="C343" s="7" t="inlineStr">
        <is>
          <t>Calendario general</t>
        </is>
      </c>
      <c r="D343" s="7" t="inlineStr">
        <is>
          <t>Validar: Listar eventos por rango</t>
        </is>
      </c>
      <c r="E343" s="7" t="inlineStr">
        <is>
          <t>Respalda TC-41: 200; ocurrencias recurrentes expandidas, paginado</t>
        </is>
      </c>
      <c r="F343" s="7" t="inlineStr">
        <is>
          <t>API levantada con WebApplicationFactory.</t>
        </is>
      </c>
      <c r="G343" s="7" t="inlineStr">
        <is>
          <t>SCRUM-</t>
        </is>
      </c>
      <c r="H343" s="7" t="inlineStr">
        <is>
          <t>1. GET /api/general-calendar-events?from=2026-10-12&amp;to=2026-10-18 con cada rol  →  200; ocurrencias recurrentes expandidas, paginado</t>
        </is>
      </c>
      <c r="I343" s="7" t="inlineStr">
        <is>
          <t>Vicaria.IntegrationTests › GeneralCalendarEventsEndpointTests › Get_WithRange_ExpandsSeedTemplatesAndPaginates</t>
        </is>
      </c>
      <c r="J343" s="7" t="inlineStr">
        <is>
          <t>OK</t>
        </is>
      </c>
      <c r="K343" s="7" t="inlineStr">
        <is>
          <t>2026-10-14</t>
        </is>
      </c>
      <c r="L343" s="7" t="inlineStr">
        <is>
          <t>Suite automatizada</t>
        </is>
      </c>
    </row>
    <row r="344">
      <c r="A344" s="7" t="inlineStr">
        <is>
          <t>TA-343</t>
        </is>
      </c>
      <c r="B344" s="7" t="inlineStr">
        <is>
          <t>Sprint 3</t>
        </is>
      </c>
      <c r="C344" s="7" t="inlineStr">
        <is>
          <t>Calendario general</t>
        </is>
      </c>
      <c r="D344" s="7" t="inlineStr">
        <is>
          <t>Validar: Listar eventos por rango</t>
        </is>
      </c>
      <c r="E344" s="7" t="inlineStr">
        <is>
          <t>Respalda TC-41: 200; ocurrencias recurrentes expandidas, paginado</t>
        </is>
      </c>
      <c r="F344" s="7" t="inlineStr">
        <is>
          <t>API levantada con WebApplicationFactory.</t>
        </is>
      </c>
      <c r="G344" s="7" t="inlineStr">
        <is>
          <t>SCRUM-</t>
        </is>
      </c>
      <c r="H344" s="7" t="inlineStr">
        <is>
          <t>1. GET /api/general-calendar-events?from=2026-10-12&amp;to=2026-10-18 con cada rol  →  200; ocurrencias recurrentes expandidas, paginado</t>
        </is>
      </c>
      <c r="I344" s="7" t="inlineStr">
        <is>
          <t>Vicaria.IntegrationTests › GeneralCalendarEventsEndpointTests › Get_WithEachAuthorizedRole_Returns200</t>
        </is>
      </c>
      <c r="J344" s="7" t="inlineStr">
        <is>
          <t>OK</t>
        </is>
      </c>
      <c r="K344" s="7" t="inlineStr">
        <is>
          <t>2026-10-14</t>
        </is>
      </c>
      <c r="L344" s="7" t="inlineStr">
        <is>
          <t>Suite automatizada</t>
        </is>
      </c>
    </row>
    <row r="345">
      <c r="A345" s="7" t="inlineStr">
        <is>
          <t>TA-344</t>
        </is>
      </c>
      <c r="B345" s="7" t="inlineStr">
        <is>
          <t>Sprint 3</t>
        </is>
      </c>
      <c r="C345" s="7" t="inlineStr">
        <is>
          <t>Calendario general</t>
        </is>
      </c>
      <c r="D345" s="7" t="inlineStr">
        <is>
          <t>Validar: Sin rango usa la semana actual</t>
        </is>
      </c>
      <c r="E345" s="7" t="inlineStr">
        <is>
          <t>Respalda TC-42: 200 con forma paginada</t>
        </is>
      </c>
      <c r="F345" s="7" t="inlineStr">
        <is>
          <t>API levantada con WebApplicationFactory.</t>
        </is>
      </c>
      <c r="G345" s="7" t="inlineStr">
        <is>
          <t>SCRUM-</t>
        </is>
      </c>
      <c r="H345" s="7" t="inlineStr">
        <is>
          <t>1. GET sin from/to  →  200 con forma paginada</t>
        </is>
      </c>
      <c r="I345" s="7" t="inlineStr">
        <is>
          <t>Vicaria.IntegrationTests › GeneralCalendarEventsEndpointTests › Get_WithoutRange_Returns200WithPagedShape</t>
        </is>
      </c>
      <c r="J345" s="7" t="inlineStr">
        <is>
          <t>OK</t>
        </is>
      </c>
      <c r="K345" s="7" t="inlineStr">
        <is>
          <t>2026-10-14</t>
        </is>
      </c>
      <c r="L345" s="7" t="inlineStr">
        <is>
          <t>Suite automatizada</t>
        </is>
      </c>
    </row>
    <row r="346">
      <c r="A346" s="7" t="inlineStr">
        <is>
          <t>TA-345</t>
        </is>
      </c>
      <c r="B346" s="7" t="inlineStr">
        <is>
          <t>Sprint 3</t>
        </is>
      </c>
      <c r="C346" s="7" t="inlineStr">
        <is>
          <t>Calendario general</t>
        </is>
      </c>
      <c r="D346" s="7" t="inlineStr">
        <is>
          <t>Validar: Rango inválido</t>
        </is>
      </c>
      <c r="E346" s="7" t="inlineStr">
        <is>
          <t>Respalda TC-43: 400 "El parámetro 'from' no puede ser posterior a 'to'."</t>
        </is>
      </c>
      <c r="F346" s="7" t="inlineStr">
        <is>
          <t>API levantada con WebApplicationFactory.</t>
        </is>
      </c>
      <c r="G346" s="7" t="inlineStr">
        <is>
          <t>SCRUM-</t>
        </is>
      </c>
      <c r="H346" s="7" t="inlineStr">
        <is>
          <t>1. from posterior a to  →  400 "El parámetro 'from' no puede ser posterior a 'to'."</t>
        </is>
      </c>
      <c r="I346" s="7" t="inlineStr">
        <is>
          <t>Vicaria.IntegrationTests › GeneralCalendarEventsEndpointTests › Get_WithFromAfterTo_Returns400</t>
        </is>
      </c>
      <c r="J346" s="7" t="inlineStr">
        <is>
          <t>OK</t>
        </is>
      </c>
      <c r="K346" s="7" t="inlineStr">
        <is>
          <t>2026-10-14</t>
        </is>
      </c>
      <c r="L346" s="7" t="inlineStr">
        <is>
          <t>Suite automatizada</t>
        </is>
      </c>
    </row>
    <row r="347">
      <c r="A347" s="7" t="inlineStr">
        <is>
          <t>TA-346</t>
        </is>
      </c>
      <c r="B347" s="7" t="inlineStr">
        <is>
          <t>Sprint 3</t>
        </is>
      </c>
      <c r="C347" s="7" t="inlineStr">
        <is>
          <t>Calendario general</t>
        </is>
      </c>
      <c r="D347" s="7" t="inlineStr">
        <is>
          <t>Validar: Sin sesión</t>
        </is>
      </c>
      <c r="E347" s="7" t="inlineStr">
        <is>
          <t>Respalda TC-45: 401</t>
        </is>
      </c>
      <c r="F347" s="7" t="inlineStr">
        <is>
          <t>API levantada con WebApplicationFactory.</t>
        </is>
      </c>
      <c r="G347" s="7" t="inlineStr">
        <is>
          <t>SCRUM-</t>
        </is>
      </c>
      <c r="H347" s="7" t="inlineStr">
        <is>
          <t>1. GET sin token  →  401</t>
        </is>
      </c>
      <c r="I347" s="7" t="inlineStr">
        <is>
          <t>Vicaria.IntegrationTests › GeneralCalendarEventsEndpointTests › Get_WithoutToken_Returns401</t>
        </is>
      </c>
      <c r="J347" s="7" t="inlineStr">
        <is>
          <t>OK</t>
        </is>
      </c>
      <c r="K347" s="7" t="inlineStr">
        <is>
          <t>2026-10-14</t>
        </is>
      </c>
      <c r="L347" s="7" t="inlineStr">
        <is>
          <t>Suite automatizada</t>
        </is>
      </c>
    </row>
    <row r="348">
      <c r="A348" s="7" t="inlineStr">
        <is>
          <t>TA-347</t>
        </is>
      </c>
      <c r="B348" s="7" t="inlineStr">
        <is>
          <t>Sprint 3</t>
        </is>
      </c>
      <c r="C348" s="7" t="inlineStr">
        <is>
          <t>Calendario general</t>
        </is>
      </c>
      <c r="D348" s="7" t="inlineStr">
        <is>
          <t>Validar: Detalle de evento</t>
        </is>
      </c>
      <c r="E348" s="7" t="inlineStr">
        <is>
          <t>Respalda TC-44: 200 / 404 "El evento especificado no existe."</t>
        </is>
      </c>
      <c r="F348" s="7" t="inlineStr">
        <is>
          <t>API levantada con WebApplicationFactory.</t>
        </is>
      </c>
      <c r="G348" s="7" t="inlineStr">
        <is>
          <t>SCRUM-</t>
        </is>
      </c>
      <c r="H348" s="7" t="inlineStr">
        <is>
          <t>1. GET /api/general-calendar-events/{id} existente / inexistente  →  200 / 404 "El evento especificado no existe."</t>
        </is>
      </c>
      <c r="I348" s="7" t="inlineStr">
        <is>
          <t>Vicaria.IntegrationTests › GeneralCalendarEventsEndpointTests › GetById_KnownSeedTemplate_Returns200</t>
        </is>
      </c>
      <c r="J348" s="7" t="inlineStr">
        <is>
          <t>OK</t>
        </is>
      </c>
      <c r="K348" s="7" t="inlineStr">
        <is>
          <t>2026-10-14</t>
        </is>
      </c>
      <c r="L348" s="7" t="inlineStr">
        <is>
          <t>Suite automatizada</t>
        </is>
      </c>
    </row>
    <row r="349">
      <c r="A349" s="7" t="inlineStr">
        <is>
          <t>TA-348</t>
        </is>
      </c>
      <c r="B349" s="7" t="inlineStr">
        <is>
          <t>Sprint 3</t>
        </is>
      </c>
      <c r="C349" s="7" t="inlineStr">
        <is>
          <t>Calendario general</t>
        </is>
      </c>
      <c r="D349" s="7" t="inlineStr">
        <is>
          <t>Validar: Detalle de evento</t>
        </is>
      </c>
      <c r="E349" s="7" t="inlineStr">
        <is>
          <t>Respalda TC-44: 200 / 404 "El evento especificado no existe."</t>
        </is>
      </c>
      <c r="F349" s="7" t="inlineStr">
        <is>
          <t>API levantada con WebApplicationFactory.</t>
        </is>
      </c>
      <c r="G349" s="7" t="inlineStr">
        <is>
          <t>SCRUM-</t>
        </is>
      </c>
      <c r="H349" s="7" t="inlineStr">
        <is>
          <t>1. GET /api/general-calendar-events/{id} existente / inexistente  →  200 / 404 "El evento especificado no existe."</t>
        </is>
      </c>
      <c r="I349" s="7" t="inlineStr">
        <is>
          <t>Vicaria.IntegrationTests › GeneralCalendarEventsEndpointTests › GetById_Unknown_Returns404</t>
        </is>
      </c>
      <c r="J349" s="7" t="inlineStr">
        <is>
          <t>OK</t>
        </is>
      </c>
      <c r="K349" s="7" t="inlineStr">
        <is>
          <t>2026-10-14</t>
        </is>
      </c>
      <c r="L349" s="7" t="inlineStr">
        <is>
          <t>Suite automatizada</t>
        </is>
      </c>
    </row>
    <row r="350">
      <c r="A350" s="7" t="inlineStr">
        <is>
          <t>TA-349</t>
        </is>
      </c>
      <c r="B350" s="7" t="inlineStr">
        <is>
          <t>Sprint 3</t>
        </is>
      </c>
      <c r="C350" s="7" t="inlineStr">
        <is>
          <t>Calendario general</t>
        </is>
      </c>
      <c r="D350" s="7" t="inlineStr">
        <is>
          <t>Validar: Get · ForUserCreatedEvent · IncludesAuthorAndIsNotPreloaded</t>
        </is>
      </c>
      <c r="E350" s="7" t="inlineStr">
        <is>
          <t>Sin TC manual asociado; descripción derivada del nombre del test.</t>
        </is>
      </c>
      <c r="F350" s="7" t="inlineStr">
        <is>
          <t>API levantada con WebApplicationFactory.</t>
        </is>
      </c>
      <c r="G350" s="7" t="inlineStr">
        <is>
          <t>SCRUM-15 / SCRUM-16</t>
        </is>
      </c>
      <c r="H350" s="7" t="inlineStr"/>
      <c r="I350" s="7" t="inlineStr">
        <is>
          <t>Vicaria.IntegrationTests › GeneralCalendarEventsEndpointTests › Get_ForUserCreatedEvent_IncludesAuthorAndIsNotPreloaded</t>
        </is>
      </c>
      <c r="J350" s="7" t="inlineStr">
        <is>
          <t>OK</t>
        </is>
      </c>
      <c r="K350" s="7" t="inlineStr">
        <is>
          <t>2026-10-14</t>
        </is>
      </c>
      <c r="L350" s="7" t="inlineStr">
        <is>
          <t>Suite automatizada</t>
        </is>
      </c>
    </row>
    <row r="351">
      <c r="A351" s="7" t="inlineStr">
        <is>
          <t>TA-350</t>
        </is>
      </c>
      <c r="B351" s="7" t="inlineStr">
        <is>
          <t>Sprint 3</t>
        </is>
      </c>
      <c r="C351" s="7" t="inlineStr">
        <is>
          <t>Calendario general</t>
        </is>
      </c>
      <c r="D351" s="7" t="inlineStr">
        <is>
          <t>Validar: Get · ForSeedTemplates · AreMarkedAsPreloaded</t>
        </is>
      </c>
      <c r="E351" s="7" t="inlineStr">
        <is>
          <t>Sin TC manual asociado; descripción derivada del nombre del test.</t>
        </is>
      </c>
      <c r="F351" s="7" t="inlineStr">
        <is>
          <t>API levantada con WebApplicationFactory.</t>
        </is>
      </c>
      <c r="G351" s="7" t="inlineStr">
        <is>
          <t>SCRUM-15 / SCRUM-16</t>
        </is>
      </c>
      <c r="H351" s="7" t="inlineStr"/>
      <c r="I351" s="7" t="inlineStr">
        <is>
          <t>Vicaria.IntegrationTests › GeneralCalendarEventsEndpointTests › Get_ForSeedTemplates_AreMarkedAsPreloaded</t>
        </is>
      </c>
      <c r="J351" s="7" t="inlineStr">
        <is>
          <t>OK</t>
        </is>
      </c>
      <c r="K351" s="7" t="inlineStr">
        <is>
          <t>2026-10-14</t>
        </is>
      </c>
      <c r="L351" s="7" t="inlineStr">
        <is>
          <t>Suite automatizada</t>
        </is>
      </c>
    </row>
    <row r="352">
      <c r="A352" s="7" t="inlineStr">
        <is>
          <t>TA-351</t>
        </is>
      </c>
      <c r="B352" s="7" t="inlineStr">
        <is>
          <t>Sprint 3</t>
        </is>
      </c>
      <c r="C352" s="7" t="inlineStr">
        <is>
          <t>Calendario personal</t>
        </is>
      </c>
      <c r="D352" s="7" t="inlineStr">
        <is>
          <t>Validar: Solo veo mis eventos</t>
        </is>
      </c>
      <c r="E352" s="7" t="inlineStr">
        <is>
          <t>Respalda TC-52: Cada uno ve únicamente los suyos</t>
        </is>
      </c>
      <c r="F352" s="7" t="inlineStr">
        <is>
          <t>API levantada con WebApplicationFactory.</t>
        </is>
      </c>
      <c r="G352" s="7" t="inlineStr">
        <is>
          <t>SCRUM-16</t>
        </is>
      </c>
      <c r="H352" s="7" t="inlineStr">
        <is>
          <t>1. GET /api/personal-calendar-events con dos usuarios distintos  →  Cada uno ve únicamente los suyos</t>
        </is>
      </c>
      <c r="I352" s="7" t="inlineStr">
        <is>
          <t>Vicaria.IntegrationTests › PersonalCalendarEventsEndpointTests › Get_ReturnsOnlyEventsOwnedByCaller</t>
        </is>
      </c>
      <c r="J352" s="7" t="inlineStr">
        <is>
          <t>OK</t>
        </is>
      </c>
      <c r="K352" s="7" t="inlineStr">
        <is>
          <t>2026-10-14</t>
        </is>
      </c>
      <c r="L352" s="7" t="inlineStr">
        <is>
          <t>Suite automatizada</t>
        </is>
      </c>
    </row>
    <row r="353">
      <c r="A353" s="7" t="inlineStr">
        <is>
          <t>TA-352</t>
        </is>
      </c>
      <c r="B353" s="7" t="inlineStr">
        <is>
          <t>Sprint 3</t>
        </is>
      </c>
      <c r="C353" s="7" t="inlineStr">
        <is>
          <t>Calendario personal</t>
        </is>
      </c>
      <c r="D353" s="7" t="inlineStr">
        <is>
          <t>Validar: Listar eventos por rango</t>
        </is>
      </c>
      <c r="E353" s="7" t="inlineStr">
        <is>
          <t>Respalda TC-41: 200; ocurrencias recurrentes expandidas, paginado</t>
        </is>
      </c>
      <c r="F353" s="7" t="inlineStr">
        <is>
          <t>API levantada con WebApplicationFactory.</t>
        </is>
      </c>
      <c r="G353" s="7" t="inlineStr">
        <is>
          <t>SCRUM-</t>
        </is>
      </c>
      <c r="H353" s="7" t="inlineStr">
        <is>
          <t>1. GET /api/general-calendar-events?from=2026-10-12&amp;to=2026-10-18 con cada rol  →  200; ocurrencias recurrentes expandidas, paginado</t>
        </is>
      </c>
      <c r="I353" s="7" t="inlineStr">
        <is>
          <t>Vicaria.IntegrationTests › PersonalCalendarEventsEndpointTests › Get_WithEachAuthorizedRole_Returns200</t>
        </is>
      </c>
      <c r="J353" s="7" t="inlineStr">
        <is>
          <t>OK</t>
        </is>
      </c>
      <c r="K353" s="7" t="inlineStr">
        <is>
          <t>2026-10-14</t>
        </is>
      </c>
      <c r="L353" s="7" t="inlineStr">
        <is>
          <t>Suite automatizada</t>
        </is>
      </c>
    </row>
    <row r="354">
      <c r="A354" s="7" t="inlineStr">
        <is>
          <t>TA-353</t>
        </is>
      </c>
      <c r="B354" s="7" t="inlineStr">
        <is>
          <t>Sprint 3</t>
        </is>
      </c>
      <c r="C354" s="7" t="inlineStr">
        <is>
          <t>Calendario personal</t>
        </is>
      </c>
      <c r="D354" s="7" t="inlineStr">
        <is>
          <t>Validar: Rango inválido</t>
        </is>
      </c>
      <c r="E354" s="7" t="inlineStr">
        <is>
          <t>Respalda TC-43: 400 "El parámetro 'from' no puede ser posterior a 'to'."</t>
        </is>
      </c>
      <c r="F354" s="7" t="inlineStr">
        <is>
          <t>API levantada con WebApplicationFactory.</t>
        </is>
      </c>
      <c r="G354" s="7" t="inlineStr">
        <is>
          <t>SCRUM-</t>
        </is>
      </c>
      <c r="H354" s="7" t="inlineStr">
        <is>
          <t>1. from posterior a to  →  400 "El parámetro 'from' no puede ser posterior a 'to'."</t>
        </is>
      </c>
      <c r="I354" s="7" t="inlineStr">
        <is>
          <t>Vicaria.IntegrationTests › PersonalCalendarEventsEndpointTests › Get_WithFromAfterTo_Returns400</t>
        </is>
      </c>
      <c r="J354" s="7" t="inlineStr">
        <is>
          <t>OK</t>
        </is>
      </c>
      <c r="K354" s="7" t="inlineStr">
        <is>
          <t>2026-10-14</t>
        </is>
      </c>
      <c r="L354" s="7" t="inlineStr">
        <is>
          <t>Suite automatizada</t>
        </is>
      </c>
    </row>
    <row r="355">
      <c r="A355" s="7" t="inlineStr">
        <is>
          <t>TA-354</t>
        </is>
      </c>
      <c r="B355" s="7" t="inlineStr">
        <is>
          <t>Sprint 3</t>
        </is>
      </c>
      <c r="C355" s="7" t="inlineStr">
        <is>
          <t>Calendario personal</t>
        </is>
      </c>
      <c r="D355" s="7" t="inlineStr">
        <is>
          <t>Validar: Sin sesión</t>
        </is>
      </c>
      <c r="E355" s="7" t="inlineStr">
        <is>
          <t>Respalda TC-45: 401</t>
        </is>
      </c>
      <c r="F355" s="7" t="inlineStr">
        <is>
          <t>API levantada con WebApplicationFactory.</t>
        </is>
      </c>
      <c r="G355" s="7" t="inlineStr">
        <is>
          <t>SCRUM-</t>
        </is>
      </c>
      <c r="H355" s="7" t="inlineStr">
        <is>
          <t>1. GET sin token  →  401</t>
        </is>
      </c>
      <c r="I355" s="7" t="inlineStr">
        <is>
          <t>Vicaria.IntegrationTests › PersonalCalendarEventsEndpointTests › Get_WithoutToken_Returns401</t>
        </is>
      </c>
      <c r="J355" s="7" t="inlineStr">
        <is>
          <t>OK</t>
        </is>
      </c>
      <c r="K355" s="7" t="inlineStr">
        <is>
          <t>2026-10-14</t>
        </is>
      </c>
      <c r="L355" s="7" t="inlineStr">
        <is>
          <t>Suite automatizada</t>
        </is>
      </c>
    </row>
    <row r="356">
      <c r="A356" s="7" t="inlineStr">
        <is>
          <t>TA-355</t>
        </is>
      </c>
      <c r="B356" s="7" t="inlineStr">
        <is>
          <t>Sprint 3</t>
        </is>
      </c>
      <c r="C356" s="7" t="inlineStr">
        <is>
          <t>Calendario personal</t>
        </is>
      </c>
      <c r="D356" s="7" t="inlineStr">
        <is>
          <t>Validar: Detalle propio</t>
        </is>
      </c>
      <c r="E356" s="7" t="inlineStr">
        <is>
          <t>Respalda TC-54: 200</t>
        </is>
      </c>
      <c r="F356" s="7" t="inlineStr">
        <is>
          <t>API levantada con WebApplicationFactory.</t>
        </is>
      </c>
      <c r="G356" s="7" t="inlineStr">
        <is>
          <t>SCRUM-16</t>
        </is>
      </c>
      <c r="H356" s="7" t="inlineStr">
        <is>
          <t>1. GET /{id} propio  →  200</t>
        </is>
      </c>
      <c r="I356" s="7" t="inlineStr">
        <is>
          <t>Vicaria.IntegrationTests › PersonalCalendarEventsEndpointTests › GetById_OwnEvent_Returns200</t>
        </is>
      </c>
      <c r="J356" s="7" t="inlineStr">
        <is>
          <t>OK</t>
        </is>
      </c>
      <c r="K356" s="7" t="inlineStr">
        <is>
          <t>2026-10-14</t>
        </is>
      </c>
      <c r="L356" s="7" t="inlineStr">
        <is>
          <t>Suite automatizada</t>
        </is>
      </c>
    </row>
    <row r="357">
      <c r="A357" s="7" t="inlineStr">
        <is>
          <t>TA-356</t>
        </is>
      </c>
      <c r="B357" s="7" t="inlineStr">
        <is>
          <t>Sprint 3</t>
        </is>
      </c>
      <c r="C357" s="7" t="inlineStr">
        <is>
          <t>Calendario personal</t>
        </is>
      </c>
      <c r="D357" s="7" t="inlineStr">
        <is>
          <t>Validar: Evento ajeno = inexistente</t>
        </is>
      </c>
      <c r="E357" s="7" t="inlineStr">
        <is>
          <t>Respalda TC-53: 404 (no revela existencia)</t>
        </is>
      </c>
      <c r="F357" s="7" t="inlineStr">
        <is>
          <t>API levantada con WebApplicationFactory.</t>
        </is>
      </c>
      <c r="G357" s="7" t="inlineStr">
        <is>
          <t>SCRUM-16</t>
        </is>
      </c>
      <c r="H357" s="7" t="inlineStr">
        <is>
          <t>1. GET /{id} de evento de otro usuario  →  404 (no revela existencia)</t>
        </is>
      </c>
      <c r="I357" s="7" t="inlineStr">
        <is>
          <t>Vicaria.IntegrationTests › PersonalCalendarEventsEndpointTests › GetById_OtherUsersEvent_Returns404</t>
        </is>
      </c>
      <c r="J357" s="7" t="inlineStr">
        <is>
          <t>OK</t>
        </is>
      </c>
      <c r="K357" s="7" t="inlineStr">
        <is>
          <t>2026-10-14</t>
        </is>
      </c>
      <c r="L357" s="7" t="inlineStr">
        <is>
          <t>Suite automatizada</t>
        </is>
      </c>
    </row>
    <row r="358">
      <c r="A358" s="7" t="inlineStr">
        <is>
          <t>TA-357</t>
        </is>
      </c>
      <c r="B358" s="7" t="inlineStr">
        <is>
          <t>Sprint 3</t>
        </is>
      </c>
      <c r="C358" s="7" t="inlineStr">
        <is>
          <t>Calendario personal</t>
        </is>
      </c>
      <c r="D358" s="7" t="inlineStr">
        <is>
          <t>Validar: Detalle de evento</t>
        </is>
      </c>
      <c r="E358" s="7" t="inlineStr">
        <is>
          <t>Respalda TC-44: 200 / 404 "El evento especificado no existe."</t>
        </is>
      </c>
      <c r="F358" s="7" t="inlineStr">
        <is>
          <t>API levantada con WebApplicationFactory.</t>
        </is>
      </c>
      <c r="G358" s="7" t="inlineStr">
        <is>
          <t>SCRUM-</t>
        </is>
      </c>
      <c r="H358" s="7" t="inlineStr">
        <is>
          <t>1. GET /api/general-calendar-events/{id} existente / inexistente  →  200 / 404 "El evento especificado no existe."</t>
        </is>
      </c>
      <c r="I358" s="7" t="inlineStr">
        <is>
          <t>Vicaria.IntegrationTests › PersonalCalendarEventsEndpointTests › GetById_Unknown_Returns404</t>
        </is>
      </c>
      <c r="J358" s="7" t="inlineStr">
        <is>
          <t>OK</t>
        </is>
      </c>
      <c r="K358" s="7" t="inlineStr">
        <is>
          <t>2026-10-14</t>
        </is>
      </c>
      <c r="L358" s="7" t="inlineStr">
        <is>
          <t>Suite automatizada</t>
        </is>
      </c>
    </row>
    <row r="359">
      <c r="A359" s="7" t="inlineStr">
        <is>
          <t>TA-358</t>
        </is>
      </c>
      <c r="B359" s="7" t="inlineStr">
        <is>
          <t>Sprint 3</t>
        </is>
      </c>
      <c r="C359" s="7" t="inlineStr">
        <is>
          <t>Calendario personal</t>
        </is>
      </c>
      <c r="D359" s="7" t="inlineStr">
        <is>
          <t>Validar: Alta de evento personal</t>
        </is>
      </c>
      <c r="E359" s="7" t="inlineStr">
        <is>
          <t>Respalda TC-106: 201; solo el dueño lo ve</t>
        </is>
      </c>
      <c r="F359" s="7" t="inlineStr">
        <is>
          <t>API levantada con WebApplicationFactory.</t>
        </is>
      </c>
      <c r="G359" s="7" t="inlineStr">
        <is>
          <t>SCRUM-17</t>
        </is>
      </c>
      <c r="H359" s="7" t="inlineStr">
        <is>
          <t>1. POST /api/personal-calendar-events con Ref  →  201; solo el dueño lo ve</t>
        </is>
      </c>
      <c r="I359" s="7" t="inlineStr">
        <is>
          <t>Vicaria.IntegrationTests › PersonalCalendarEventsEndpointTests › Post_WithReferent_Returns201AndOnlyOwnerSeesIt</t>
        </is>
      </c>
      <c r="J359" s="7" t="inlineStr">
        <is>
          <t>OK</t>
        </is>
      </c>
      <c r="K359" s="7" t="inlineStr">
        <is>
          <t>2026-10-14</t>
        </is>
      </c>
      <c r="L359" s="7" t="inlineStr">
        <is>
          <t>Suite automatizada</t>
        </is>
      </c>
    </row>
    <row r="360">
      <c r="A360" s="7" t="inlineStr">
        <is>
          <t>TA-359</t>
        </is>
      </c>
      <c r="B360" s="7" t="inlineStr">
        <is>
          <t>Sprint 3</t>
        </is>
      </c>
      <c r="C360" s="7" t="inlineStr">
        <is>
          <t>Calendario personal</t>
        </is>
      </c>
      <c r="D360" s="7" t="inlineStr">
        <is>
          <t>Validar: Crear con rol no permitido</t>
        </is>
      </c>
      <c r="E360" s="7" t="inlineStr">
        <is>
          <t>Respalda TC-47: 403</t>
        </is>
      </c>
      <c r="F360" s="7" t="inlineStr">
        <is>
          <t>API levantada con WebApplicationFactory.</t>
        </is>
      </c>
      <c r="G360" s="7" t="inlineStr">
        <is>
          <t>SCRUM-</t>
        </is>
      </c>
      <c r="H360" s="7" t="inlineStr">
        <is>
          <t>1. Mismo POST con Dir / Esc / Coo  →  403</t>
        </is>
      </c>
      <c r="I360" s="7" t="inlineStr">
        <is>
          <t>Vicaria.IntegrationTests › PersonalCalendarEventsEndpointTests › Post_WithNonReferentRoles_Returns403</t>
        </is>
      </c>
      <c r="J360" s="7" t="inlineStr">
        <is>
          <t>OK</t>
        </is>
      </c>
      <c r="K360" s="7" t="inlineStr">
        <is>
          <t>2026-10-14</t>
        </is>
      </c>
      <c r="L360" s="7" t="inlineStr">
        <is>
          <t>Suite automatizada</t>
        </is>
      </c>
    </row>
    <row r="361">
      <c r="A361" s="7" t="inlineStr">
        <is>
          <t>TA-360</t>
        </is>
      </c>
      <c r="B361" s="7" t="inlineStr">
        <is>
          <t>Sprint 3</t>
        </is>
      </c>
      <c r="C361" s="7" t="inlineStr">
        <is>
          <t>Calendario personal</t>
        </is>
      </c>
      <c r="D361" s="7" t="inlineStr">
        <is>
          <t>Validar: Sin sesión</t>
        </is>
      </c>
      <c r="E361" s="7" t="inlineStr">
        <is>
          <t>Respalda TC-48: 401</t>
        </is>
      </c>
      <c r="F361" s="7" t="inlineStr">
        <is>
          <t>API levantada con WebApplicationFactory.</t>
        </is>
      </c>
      <c r="G361" s="7" t="inlineStr">
        <is>
          <t>SCRUM-</t>
        </is>
      </c>
      <c r="H361" s="7" t="inlineStr">
        <is>
          <t>1. POST sin token  →  401</t>
        </is>
      </c>
      <c r="I361" s="7" t="inlineStr">
        <is>
          <t>Vicaria.IntegrationTests › PersonalCalendarEventsEndpointTests › Post_WithoutToken_Returns401</t>
        </is>
      </c>
      <c r="J361" s="7" t="inlineStr">
        <is>
          <t>OK</t>
        </is>
      </c>
      <c r="K361" s="7" t="inlineStr">
        <is>
          <t>2026-10-14</t>
        </is>
      </c>
      <c r="L361" s="7" t="inlineStr">
        <is>
          <t>Suite automatizada</t>
        </is>
      </c>
    </row>
    <row r="362">
      <c r="A362" s="7" t="inlineStr">
        <is>
          <t>TA-361</t>
        </is>
      </c>
      <c r="B362" s="7" t="inlineStr">
        <is>
          <t>Sprint 3</t>
        </is>
      </c>
      <c r="C362" s="7" t="inlineStr">
        <is>
          <t>Calendario personal</t>
        </is>
      </c>
      <c r="D362" s="7" t="inlineStr">
        <is>
          <t>Validar: Título obligatorio</t>
        </is>
      </c>
      <c r="E362" s="7" t="inlineStr">
        <is>
          <t>Respalda TC-49: 400 "El título del evento es obligatorio."</t>
        </is>
      </c>
      <c r="F362" s="7" t="inlineStr">
        <is>
          <t>API levantada con WebApplicationFactory.</t>
        </is>
      </c>
      <c r="G362" s="7" t="inlineStr">
        <is>
          <t>SCRUM-</t>
        </is>
      </c>
      <c r="H362" s="7" t="inlineStr">
        <is>
          <t>1. title vacío  →  400 "El título del evento es obligatorio."</t>
        </is>
      </c>
      <c r="I362" s="7" t="inlineStr">
        <is>
          <t>Vicaria.IntegrationTests › PersonalCalendarEventsEndpointTests › Post_WithMissingTitle_Returns400</t>
        </is>
      </c>
      <c r="J362" s="7" t="inlineStr">
        <is>
          <t>OK</t>
        </is>
      </c>
      <c r="K362" s="7" t="inlineStr">
        <is>
          <t>2026-10-14</t>
        </is>
      </c>
      <c r="L362" s="7" t="inlineStr">
        <is>
          <t>Suite automatizada</t>
        </is>
      </c>
    </row>
    <row r="363">
      <c r="A363" s="7" t="inlineStr">
        <is>
          <t>TA-362</t>
        </is>
      </c>
      <c r="B363" s="7" t="inlineStr">
        <is>
          <t>Sprint 3</t>
        </is>
      </c>
      <c r="C363" s="7" t="inlineStr">
        <is>
          <t>Calendario personal</t>
        </is>
      </c>
      <c r="D363" s="7" t="inlineStr">
        <is>
          <t>Validar: Convertir personal a general</t>
        </is>
      </c>
      <c r="E363" s="7" t="inlineStr">
        <is>
          <t>Respalda TC-113: 200 con id del evento general; el personal desaparece; AuditLog</t>
        </is>
      </c>
      <c r="F363" s="7" t="inlineStr">
        <is>
          <t>API levantada con WebApplicationFactory.</t>
        </is>
      </c>
      <c r="G363" s="7" t="inlineStr">
        <is>
          <t>SCRUM-17</t>
        </is>
      </c>
      <c r="H363" s="7" t="inlineStr">
        <is>
          <t>1. PUT /api/personal-calendar-events/{id}/publish  →  200 con id del evento general; el personal desaparece; AuditLog</t>
        </is>
      </c>
      <c r="I363" s="7" t="inlineStr">
        <is>
          <t>Vicaria.IntegrationTests › PersonalCalendarEventsEndpointTests › Publish_ByOwner_Returns200MovesEventToGeneral</t>
        </is>
      </c>
      <c r="J363" s="7" t="inlineStr">
        <is>
          <t>OK</t>
        </is>
      </c>
      <c r="K363" s="7" t="inlineStr">
        <is>
          <t>2026-10-14</t>
        </is>
      </c>
      <c r="L363" s="7" t="inlineStr">
        <is>
          <t>Suite automatizada</t>
        </is>
      </c>
    </row>
    <row r="364">
      <c r="A364" s="7" t="inlineStr">
        <is>
          <t>TA-363</t>
        </is>
      </c>
      <c r="B364" s="7" t="inlineStr">
        <is>
          <t>Sprint 3</t>
        </is>
      </c>
      <c r="C364" s="7" t="inlineStr">
        <is>
          <t>Calendario personal</t>
        </is>
      </c>
      <c r="D364" s="7" t="inlineStr">
        <is>
          <t>Validar: Convertir evento ajeno o inexistente</t>
        </is>
      </c>
      <c r="E364" s="7" t="inlineStr">
        <is>
          <t>Respalda TC-114: 404</t>
        </is>
      </c>
      <c r="F364" s="7" t="inlineStr">
        <is>
          <t>API levantada con WebApplicationFactory.</t>
        </is>
      </c>
      <c r="G364" s="7" t="inlineStr">
        <is>
          <t>SCRUM-17</t>
        </is>
      </c>
      <c r="H364" s="7" t="inlineStr">
        <is>
          <t>1. PUT /publish de otro usuario / id desconocido  →  404</t>
        </is>
      </c>
      <c r="I364" s="7" t="inlineStr">
        <is>
          <t>Vicaria.IntegrationTests › PersonalCalendarEventsEndpointTests › Publish_OnOtherUsersEvent_Returns404</t>
        </is>
      </c>
      <c r="J364" s="7" t="inlineStr">
        <is>
          <t>OK</t>
        </is>
      </c>
      <c r="K364" s="7" t="inlineStr">
        <is>
          <t>2026-10-14</t>
        </is>
      </c>
      <c r="L364" s="7" t="inlineStr">
        <is>
          <t>Suite automatizada</t>
        </is>
      </c>
    </row>
    <row r="365">
      <c r="A365" s="7" t="inlineStr">
        <is>
          <t>TA-364</t>
        </is>
      </c>
      <c r="B365" s="7" t="inlineStr">
        <is>
          <t>Sprint 3</t>
        </is>
      </c>
      <c r="C365" s="7" t="inlineStr">
        <is>
          <t>Calendario personal</t>
        </is>
      </c>
      <c r="D365" s="7" t="inlineStr">
        <is>
          <t>Validar: Editar evento propio</t>
        </is>
      </c>
      <c r="E365" s="7" t="inlineStr">
        <is>
          <t>Respalda TC-108: 204; AuditLog "Evento personal modificado"</t>
        </is>
      </c>
      <c r="F365" s="7" t="inlineStr">
        <is>
          <t>API levantada con WebApplicationFactory.</t>
        </is>
      </c>
      <c r="G365" s="7" t="inlineStr">
        <is>
          <t>SCRUM-17</t>
        </is>
      </c>
      <c r="H365" s="7" t="inlineStr">
        <is>
          <t>1. PUT /api/personal-calendar-events/{id}  →  204; AuditLog "Evento personal modificado"</t>
        </is>
      </c>
      <c r="I365" s="7" t="inlineStr">
        <is>
          <t>Vicaria.IntegrationTests › PersonalCalendarEventsEndpointTests › Put_ByOwnerReferent_Returns204AndChangesTitle</t>
        </is>
      </c>
      <c r="J365" s="7" t="inlineStr">
        <is>
          <t>OK</t>
        </is>
      </c>
      <c r="K365" s="7" t="inlineStr">
        <is>
          <t>2026-10-14</t>
        </is>
      </c>
      <c r="L365" s="7" t="inlineStr">
        <is>
          <t>Suite automatizada</t>
        </is>
      </c>
    </row>
    <row r="366">
      <c r="A366" s="7" t="inlineStr">
        <is>
          <t>TA-365</t>
        </is>
      </c>
      <c r="B366" s="7" t="inlineStr">
        <is>
          <t>Sprint 3</t>
        </is>
      </c>
      <c r="C366" s="7" t="inlineStr">
        <is>
          <t>Calendario personal</t>
        </is>
      </c>
      <c r="D366" s="7" t="inlineStr">
        <is>
          <t>Validar: Editar o borrar evento ajeno</t>
        </is>
      </c>
      <c r="E366" s="7" t="inlineStr">
        <is>
          <t>Respalda TC-109: 404 (no revela existencia)</t>
        </is>
      </c>
      <c r="F366" s="7" t="inlineStr">
        <is>
          <t>API levantada con WebApplicationFactory.</t>
        </is>
      </c>
      <c r="G366" s="7" t="inlineStr">
        <is>
          <t>SCRUM-17</t>
        </is>
      </c>
      <c r="H366" s="7" t="inlineStr">
        <is>
          <t>1. PUT / DELETE de otro usuario  →  404 (no revela existencia)</t>
        </is>
      </c>
      <c r="I366" s="7" t="inlineStr">
        <is>
          <t>Vicaria.IntegrationTests › PersonalCalendarEventsEndpointTests › Put_OnOtherUsersEvent_Returns404</t>
        </is>
      </c>
      <c r="J366" s="7" t="inlineStr">
        <is>
          <t>OK</t>
        </is>
      </c>
      <c r="K366" s="7" t="inlineStr">
        <is>
          <t>2026-10-14</t>
        </is>
      </c>
      <c r="L366" s="7" t="inlineStr">
        <is>
          <t>Suite automatizada</t>
        </is>
      </c>
    </row>
    <row r="367">
      <c r="A367" s="7" t="inlineStr">
        <is>
          <t>TA-366</t>
        </is>
      </c>
      <c r="B367" s="7" t="inlineStr">
        <is>
          <t>Sprint 3</t>
        </is>
      </c>
      <c r="C367" s="7" t="inlineStr">
        <is>
          <t>Calendario personal</t>
        </is>
      </c>
      <c r="D367" s="7" t="inlineStr">
        <is>
          <t>Validar: Título vacío al editar</t>
        </is>
      </c>
      <c r="E367" s="7" t="inlineStr">
        <is>
          <t>Respalda TC-103: 400</t>
        </is>
      </c>
      <c r="F367" s="7" t="inlineStr">
        <is>
          <t>API levantada con WebApplicationFactory.</t>
        </is>
      </c>
      <c r="G367" s="7" t="inlineStr">
        <is>
          <t>SCRUM-16</t>
        </is>
      </c>
      <c r="H367" s="7" t="inlineStr">
        <is>
          <t>1. PUT con title vacío  →  400</t>
        </is>
      </c>
      <c r="I367" s="7" t="inlineStr">
        <is>
          <t>Vicaria.IntegrationTests › PersonalCalendarEventsEndpointTests › Put_WithEmptyTitle_Returns400</t>
        </is>
      </c>
      <c r="J367" s="7" t="inlineStr">
        <is>
          <t>OK</t>
        </is>
      </c>
      <c r="K367" s="7" t="inlineStr">
        <is>
          <t>2026-10-14</t>
        </is>
      </c>
      <c r="L367" s="7" t="inlineStr">
        <is>
          <t>Suite automatizada</t>
        </is>
      </c>
    </row>
    <row r="368">
      <c r="A368" s="7" t="inlineStr">
        <is>
          <t>TA-367</t>
        </is>
      </c>
      <c r="B368" s="7" t="inlineStr">
        <is>
          <t>Sprint 3</t>
        </is>
      </c>
      <c r="C368" s="7" t="inlineStr">
        <is>
          <t>Calendario personal</t>
        </is>
      </c>
      <c r="D368" s="7" t="inlineStr">
        <is>
          <t>Validar: Eliminar evento propio</t>
        </is>
      </c>
      <c r="E368" s="7" t="inlineStr">
        <is>
          <t>Respalda TC-111: 204; detalle 404; AuditLog "Evento personal eliminado"</t>
        </is>
      </c>
      <c r="F368" s="7" t="inlineStr">
        <is>
          <t>API levantada con WebApplicationFactory.</t>
        </is>
      </c>
      <c r="G368" s="7" t="inlineStr">
        <is>
          <t>SCRUM-17</t>
        </is>
      </c>
      <c r="H368" s="7" t="inlineStr">
        <is>
          <t>1. DELETE /api/personal-calendar-events/{id}  →  204; detalle 404; AuditLog "Evento personal eliminado"</t>
        </is>
      </c>
      <c r="I368" s="7" t="inlineStr">
        <is>
          <t>Vicaria.IntegrationTests › PersonalCalendarEventsEndpointTests › Delete_ByOwnerReferent_Returns204ThenDetailIs404</t>
        </is>
      </c>
      <c r="J368" s="7" t="inlineStr">
        <is>
          <t>OK</t>
        </is>
      </c>
      <c r="K368" s="7" t="inlineStr">
        <is>
          <t>2026-10-14</t>
        </is>
      </c>
      <c r="L368" s="7" t="inlineStr">
        <is>
          <t>Suite automatizada</t>
        </is>
      </c>
    </row>
    <row r="369">
      <c r="A369" s="7" t="inlineStr">
        <is>
          <t>TA-368</t>
        </is>
      </c>
      <c r="B369" s="7" t="inlineStr">
        <is>
          <t>Sprint 3</t>
        </is>
      </c>
      <c r="C369" s="7" t="inlineStr">
        <is>
          <t>Calendario personal</t>
        </is>
      </c>
      <c r="D369" s="7" t="inlineStr">
        <is>
          <t>Validar: Editar o borrar evento ajeno</t>
        </is>
      </c>
      <c r="E369" s="7" t="inlineStr">
        <is>
          <t>Respalda TC-109: 404 (no revela existencia)</t>
        </is>
      </c>
      <c r="F369" s="7" t="inlineStr">
        <is>
          <t>API levantada con WebApplicationFactory.</t>
        </is>
      </c>
      <c r="G369" s="7" t="inlineStr">
        <is>
          <t>SCRUM-17</t>
        </is>
      </c>
      <c r="H369" s="7" t="inlineStr">
        <is>
          <t>1. PUT / DELETE de otro usuario  →  404 (no revela existencia)</t>
        </is>
      </c>
      <c r="I369" s="7" t="inlineStr">
        <is>
          <t>Vicaria.IntegrationTests › PersonalCalendarEventsEndpointTests › Delete_OnOtherUsersEvent_Returns404</t>
        </is>
      </c>
      <c r="J369" s="7" t="inlineStr">
        <is>
          <t>OK</t>
        </is>
      </c>
      <c r="K369" s="7" t="inlineStr">
        <is>
          <t>2026-10-14</t>
        </is>
      </c>
      <c r="L369" s="7" t="inlineStr">
        <is>
          <t>Suite automatizada</t>
        </is>
      </c>
    </row>
    <row r="370">
      <c r="A370" s="7" t="inlineStr">
        <is>
          <t>TA-369</t>
        </is>
      </c>
      <c r="B370" s="7" t="inlineStr">
        <is>
          <t>Sprint 3</t>
        </is>
      </c>
      <c r="C370" s="7" t="inlineStr">
        <is>
          <t>Calendario personal</t>
        </is>
      </c>
      <c r="D370" s="7" t="inlineStr">
        <is>
          <t>Validar: Borrar con rol no permitido</t>
        </is>
      </c>
      <c r="E370" s="7" t="inlineStr">
        <is>
          <t>Respalda TC-112: 403</t>
        </is>
      </c>
      <c r="F370" s="7" t="inlineStr">
        <is>
          <t>API levantada con WebApplicationFactory.</t>
        </is>
      </c>
      <c r="G370" s="7" t="inlineStr">
        <is>
          <t>SCRUM-17</t>
        </is>
      </c>
      <c r="H370" s="7" t="inlineStr">
        <is>
          <t>1. DELETE con Esc / Dir  →  403</t>
        </is>
      </c>
      <c r="I370" s="7" t="inlineStr">
        <is>
          <t>Vicaria.IntegrationTests › PersonalCalendarEventsEndpointTests › Delete_WithNonReferentRoles_Returns403</t>
        </is>
      </c>
      <c r="J370" s="7" t="inlineStr">
        <is>
          <t>OK</t>
        </is>
      </c>
      <c r="K370" s="7" t="inlineStr">
        <is>
          <t>2026-10-14</t>
        </is>
      </c>
      <c r="L370" s="7" t="inlineStr">
        <is>
          <t>Suite automatizada</t>
        </is>
      </c>
    </row>
    <row r="371">
      <c r="A371" s="7" t="inlineStr">
        <is>
          <t>TA-370</t>
        </is>
      </c>
      <c r="B371" s="7" t="inlineStr">
        <is>
          <t>Sprint 3</t>
        </is>
      </c>
      <c r="C371" s="7" t="inlineStr">
        <is>
          <t>Visitas de la Casa de Convivencia</t>
        </is>
      </c>
      <c r="D371" s="7" t="inlineStr">
        <is>
          <t>Validar: Alta de visita (Ref/Dir/Coo)</t>
        </is>
      </c>
      <c r="E371" s="7" t="inlineStr">
        <is>
          <t>Respalda TC-73: 201; queda Pendiente</t>
        </is>
      </c>
      <c r="F371" s="7" t="inlineStr">
        <is>
          <t>API levantada con WebApplicationFactory.</t>
        </is>
      </c>
      <c r="G371" s="7" t="inlineStr">
        <is>
          <t>SCRUM-19</t>
        </is>
      </c>
      <c r="H371" s="7" t="inlineStr">
        <is>
          <t>1. POST /api/casona-visits {personId, visitorName, date, startTime, estimatedDurationMinutes}  →  201; queda Pendiente</t>
        </is>
      </c>
      <c r="I371" s="7" t="inlineStr">
        <is>
          <t>Vicaria.IntegrationTests › CasonaVisitsEndpointTests › Post_WithEachAuthorizedRole_Returns201WithId</t>
        </is>
      </c>
      <c r="J371" s="7" t="inlineStr">
        <is>
          <t>OK</t>
        </is>
      </c>
      <c r="K371" s="7" t="inlineStr">
        <is>
          <t>2026-10-14</t>
        </is>
      </c>
      <c r="L371" s="7" t="inlineStr">
        <is>
          <t>Suite automatizada</t>
        </is>
      </c>
    </row>
    <row r="372">
      <c r="A372" s="7" t="inlineStr">
        <is>
          <t>TA-371</t>
        </is>
      </c>
      <c r="B372" s="7" t="inlineStr">
        <is>
          <t>Sprint 3</t>
        </is>
      </c>
      <c r="C372" s="7" t="inlineStr">
        <is>
          <t>Visitas de la Casa de Convivencia</t>
        </is>
      </c>
      <c r="D372" s="7" t="inlineStr">
        <is>
          <t>Validar: Escucha no puede escribir</t>
        </is>
      </c>
      <c r="E372" s="7" t="inlineStr">
        <is>
          <t>Respalda TC-74: 403</t>
        </is>
      </c>
      <c r="F372" s="7" t="inlineStr">
        <is>
          <t>API levantada con WebApplicationFactory.</t>
        </is>
      </c>
      <c r="G372" s="7" t="inlineStr">
        <is>
          <t>SCRUM-19</t>
        </is>
      </c>
      <c r="H372" s="7" t="inlineStr">
        <is>
          <t>1. POST / PUT con Esc  →  403</t>
        </is>
      </c>
      <c r="I372" s="7" t="inlineStr">
        <is>
          <t>Vicaria.IntegrationTests › CasonaVisitsEndpointTests › Post_WithListenerRole_Returns403</t>
        </is>
      </c>
      <c r="J372" s="7" t="inlineStr">
        <is>
          <t>OK</t>
        </is>
      </c>
      <c r="K372" s="7" t="inlineStr">
        <is>
          <t>2026-10-14</t>
        </is>
      </c>
      <c r="L372" s="7" t="inlineStr">
        <is>
          <t>Suite automatizada</t>
        </is>
      </c>
    </row>
    <row r="373">
      <c r="A373" s="7" t="inlineStr">
        <is>
          <t>TA-372</t>
        </is>
      </c>
      <c r="B373" s="7" t="inlineStr">
        <is>
          <t>Sprint 3</t>
        </is>
      </c>
      <c r="C373" s="7" t="inlineStr">
        <is>
          <t>Visitas de la Casa de Convivencia</t>
        </is>
      </c>
      <c r="D373" s="7" t="inlineStr">
        <is>
          <t>Validar: Sin sesión</t>
        </is>
      </c>
      <c r="E373" s="7" t="inlineStr">
        <is>
          <t>Respalda TC-48: 401</t>
        </is>
      </c>
      <c r="F373" s="7" t="inlineStr">
        <is>
          <t>API levantada con WebApplicationFactory.</t>
        </is>
      </c>
      <c r="G373" s="7" t="inlineStr">
        <is>
          <t>SCRUM-</t>
        </is>
      </c>
      <c r="H373" s="7" t="inlineStr">
        <is>
          <t>1. POST sin token  →  401</t>
        </is>
      </c>
      <c r="I373" s="7" t="inlineStr">
        <is>
          <t>Vicaria.IntegrationTests › CasonaVisitsEndpointTests › Post_WithoutToken_Returns401</t>
        </is>
      </c>
      <c r="J373" s="7" t="inlineStr">
        <is>
          <t>OK</t>
        </is>
      </c>
      <c r="K373" s="7" t="inlineStr">
        <is>
          <t>2026-10-14</t>
        </is>
      </c>
      <c r="L373" s="7" t="inlineStr">
        <is>
          <t>Suite automatizada</t>
        </is>
      </c>
    </row>
    <row r="374">
      <c r="A374" s="7" t="inlineStr">
        <is>
          <t>TA-373</t>
        </is>
      </c>
      <c r="B374" s="7" t="inlineStr">
        <is>
          <t>Sprint 3</t>
        </is>
      </c>
      <c r="C374" s="7" t="inlineStr">
        <is>
          <t>Visitas de la Casa de Convivencia</t>
        </is>
      </c>
      <c r="D374" s="7" t="inlineStr">
        <is>
          <t>Validar: Validaciones de alta</t>
        </is>
      </c>
      <c r="E374" s="7" t="inlineStr">
        <is>
          <t>Respalda TC-75: 400 con mensajes en español</t>
        </is>
      </c>
      <c r="F374" s="7" t="inlineStr">
        <is>
          <t>API levantada con WebApplicationFactory.</t>
        </is>
      </c>
      <c r="G374" s="7" t="inlineStr">
        <is>
          <t>SCRUM-19</t>
        </is>
      </c>
      <c r="H374" s="7" t="inlineStr">
        <is>
          <t>1. Campos faltantes, fecha pasada, duración 0  →  400 con mensajes en español</t>
        </is>
      </c>
      <c r="I374" s="7" t="inlineStr">
        <is>
          <t>Vicaria.IntegrationTests › CasonaVisitsEndpointTests › Post_WithMissingFields_Returns400</t>
        </is>
      </c>
      <c r="J374" s="7" t="inlineStr">
        <is>
          <t>OK</t>
        </is>
      </c>
      <c r="K374" s="7" t="inlineStr">
        <is>
          <t>2026-10-14</t>
        </is>
      </c>
      <c r="L374" s="7" t="inlineStr">
        <is>
          <t>Suite automatizada</t>
        </is>
      </c>
    </row>
    <row r="375">
      <c r="A375" s="7" t="inlineStr">
        <is>
          <t>TA-374</t>
        </is>
      </c>
      <c r="B375" s="7" t="inlineStr">
        <is>
          <t>Sprint 3</t>
        </is>
      </c>
      <c r="C375" s="7" t="inlineStr">
        <is>
          <t>Visitas de la Casa de Convivencia</t>
        </is>
      </c>
      <c r="D375" s="7" t="inlineStr">
        <is>
          <t>Validar: Validaciones de alta</t>
        </is>
      </c>
      <c r="E375" s="7" t="inlineStr">
        <is>
          <t>Respalda TC-75: 400 con mensajes en español</t>
        </is>
      </c>
      <c r="F375" s="7" t="inlineStr">
        <is>
          <t>API levantada con WebApplicationFactory.</t>
        </is>
      </c>
      <c r="G375" s="7" t="inlineStr">
        <is>
          <t>SCRUM-19</t>
        </is>
      </c>
      <c r="H375" s="7" t="inlineStr">
        <is>
          <t>1. Campos faltantes, fecha pasada, duración 0  →  400 con mensajes en español</t>
        </is>
      </c>
      <c r="I375" s="7" t="inlineStr">
        <is>
          <t>Vicaria.IntegrationTests › CasonaVisitsEndpointTests › Post_WithPastDate_Returns400</t>
        </is>
      </c>
      <c r="J375" s="7" t="inlineStr">
        <is>
          <t>OK</t>
        </is>
      </c>
      <c r="K375" s="7" t="inlineStr">
        <is>
          <t>2026-10-14</t>
        </is>
      </c>
      <c r="L375" s="7" t="inlineStr">
        <is>
          <t>Suite automatizada</t>
        </is>
      </c>
    </row>
    <row r="376">
      <c r="A376" s="7" t="inlineStr">
        <is>
          <t>TA-375</t>
        </is>
      </c>
      <c r="B376" s="7" t="inlineStr">
        <is>
          <t>Sprint 3</t>
        </is>
      </c>
      <c r="C376" s="7" t="inlineStr">
        <is>
          <t>Visitas de la Casa de Convivencia</t>
        </is>
      </c>
      <c r="D376" s="7" t="inlineStr">
        <is>
          <t>Validar: Validaciones de alta</t>
        </is>
      </c>
      <c r="E376" s="7" t="inlineStr">
        <is>
          <t>Respalda TC-75: 400 con mensajes en español</t>
        </is>
      </c>
      <c r="F376" s="7" t="inlineStr">
        <is>
          <t>API levantada con WebApplicationFactory.</t>
        </is>
      </c>
      <c r="G376" s="7" t="inlineStr">
        <is>
          <t>SCRUM-19</t>
        </is>
      </c>
      <c r="H376" s="7" t="inlineStr">
        <is>
          <t>1. Campos faltantes, fecha pasada, duración 0  →  400 con mensajes en español</t>
        </is>
      </c>
      <c r="I376" s="7" t="inlineStr">
        <is>
          <t>Vicaria.IntegrationTests › CasonaVisitsEndpointTests › Post_WithZeroDuration_Returns400</t>
        </is>
      </c>
      <c r="J376" s="7" t="inlineStr">
        <is>
          <t>OK</t>
        </is>
      </c>
      <c r="K376" s="7" t="inlineStr">
        <is>
          <t>2026-10-14</t>
        </is>
      </c>
      <c r="L376" s="7" t="inlineStr">
        <is>
          <t>Suite automatizada</t>
        </is>
      </c>
    </row>
    <row r="377">
      <c r="A377" s="7" t="inlineStr">
        <is>
          <t>TA-376</t>
        </is>
      </c>
      <c r="B377" s="7" t="inlineStr">
        <is>
          <t>Sprint 3</t>
        </is>
      </c>
      <c r="C377" s="7" t="inlineStr">
        <is>
          <t>Visitas de la Casa de Convivencia</t>
        </is>
      </c>
      <c r="D377" s="7" t="inlineStr">
        <is>
          <t>Validar: Persona inválida</t>
        </is>
      </c>
      <c r="E377" s="7" t="inlineStr">
        <is>
          <t>Respalda TC-76: 400</t>
        </is>
      </c>
      <c r="F377" s="7" t="inlineStr">
        <is>
          <t>API levantada con WebApplicationFactory.</t>
        </is>
      </c>
      <c r="G377" s="7" t="inlineStr">
        <is>
          <t>SCRUM-19</t>
        </is>
      </c>
      <c r="H377" s="7" t="inlineStr">
        <is>
          <t>1. Persona inexistente / ambulatoria / sin estadía abierta  →  400</t>
        </is>
      </c>
      <c r="I377" s="7" t="inlineStr">
        <is>
          <t>Vicaria.IntegrationTests › CasonaVisitsEndpointTests › Post_WithUnknownPerson_Returns400</t>
        </is>
      </c>
      <c r="J377" s="7" t="inlineStr">
        <is>
          <t>OK</t>
        </is>
      </c>
      <c r="K377" s="7" t="inlineStr">
        <is>
          <t>2026-10-14</t>
        </is>
      </c>
      <c r="L377" s="7" t="inlineStr">
        <is>
          <t>Suite automatizada</t>
        </is>
      </c>
    </row>
    <row r="378">
      <c r="A378" s="7" t="inlineStr">
        <is>
          <t>TA-377</t>
        </is>
      </c>
      <c r="B378" s="7" t="inlineStr">
        <is>
          <t>Sprint 3</t>
        </is>
      </c>
      <c r="C378" s="7" t="inlineStr">
        <is>
          <t>Visitas de la Casa de Convivencia</t>
        </is>
      </c>
      <c r="D378" s="7" t="inlineStr">
        <is>
          <t>Validar: Persona inválida</t>
        </is>
      </c>
      <c r="E378" s="7" t="inlineStr">
        <is>
          <t>Respalda TC-76: 400</t>
        </is>
      </c>
      <c r="F378" s="7" t="inlineStr">
        <is>
          <t>API levantada con WebApplicationFactory.</t>
        </is>
      </c>
      <c r="G378" s="7" t="inlineStr">
        <is>
          <t>SCRUM-19</t>
        </is>
      </c>
      <c r="H378" s="7" t="inlineStr">
        <is>
          <t>1. Persona inexistente / ambulatoria / sin estadía abierta  →  400</t>
        </is>
      </c>
      <c r="I378" s="7" t="inlineStr">
        <is>
          <t>Vicaria.IntegrationTests › CasonaVisitsEndpointTests › Post_WithAmbulatoryPerson_Returns400</t>
        </is>
      </c>
      <c r="J378" s="7" t="inlineStr">
        <is>
          <t>OK</t>
        </is>
      </c>
      <c r="K378" s="7" t="inlineStr">
        <is>
          <t>2026-10-14</t>
        </is>
      </c>
      <c r="L378" s="7" t="inlineStr">
        <is>
          <t>Suite automatizada</t>
        </is>
      </c>
    </row>
    <row r="379">
      <c r="A379" s="7" t="inlineStr">
        <is>
          <t>TA-378</t>
        </is>
      </c>
      <c r="B379" s="7" t="inlineStr">
        <is>
          <t>Sprint 3</t>
        </is>
      </c>
      <c r="C379" s="7" t="inlineStr">
        <is>
          <t>Visitas de la Casa de Convivencia</t>
        </is>
      </c>
      <c r="D379" s="7" t="inlineStr">
        <is>
          <t>Validar: Persona inválida</t>
        </is>
      </c>
      <c r="E379" s="7" t="inlineStr">
        <is>
          <t>Respalda TC-76: 400</t>
        </is>
      </c>
      <c r="F379" s="7" t="inlineStr">
        <is>
          <t>API levantada con WebApplicationFactory.</t>
        </is>
      </c>
      <c r="G379" s="7" t="inlineStr">
        <is>
          <t>SCRUM-19</t>
        </is>
      </c>
      <c r="H379" s="7" t="inlineStr">
        <is>
          <t>1. Persona inexistente / ambulatoria / sin estadía abierta  →  400</t>
        </is>
      </c>
      <c r="I379" s="7" t="inlineStr">
        <is>
          <t>Vicaria.IntegrationTests › CasonaVisitsEndpointTests › Post_WithoutOpenStay_Returns400</t>
        </is>
      </c>
      <c r="J379" s="7" t="inlineStr">
        <is>
          <t>OK</t>
        </is>
      </c>
      <c r="K379" s="7" t="inlineStr">
        <is>
          <t>2026-10-14</t>
        </is>
      </c>
      <c r="L379" s="7" t="inlineStr">
        <is>
          <t>Suite automatizada</t>
        </is>
      </c>
    </row>
    <row r="380">
      <c r="A380" s="7" t="inlineStr">
        <is>
          <t>TA-379</t>
        </is>
      </c>
      <c r="B380" s="7" t="inlineStr">
        <is>
          <t>Sprint 3</t>
        </is>
      </c>
      <c r="C380" s="7" t="inlineStr">
        <is>
          <t>Visitas de la Casa de Convivencia</t>
        </is>
      </c>
      <c r="D380" s="7" t="inlineStr">
        <is>
          <t>Validar: Solapamiento de horario (advertencia)</t>
        </is>
      </c>
      <c r="E380" s="7" t="inlineStr">
        <is>
          <t>Respalda TC-77: 409 con el aviso</t>
        </is>
      </c>
      <c r="F380" s="7" t="inlineStr">
        <is>
          <t>API levantada con WebApplicationFactory.</t>
        </is>
      </c>
      <c r="G380" s="7" t="inlineStr">
        <is>
          <t>SCRUM-19</t>
        </is>
      </c>
      <c r="H380" s="7" t="inlineStr">
        <is>
          <t>1. Dos visitas pisadas, sin confirmar  →  409 con el aviso</t>
        </is>
      </c>
      <c r="I380" s="7" t="inlineStr">
        <is>
          <t>Vicaria.IntegrationTests › CasonaVisitsEndpointTests › Post_OverlappingVisit_Returns409</t>
        </is>
      </c>
      <c r="J380" s="7" t="inlineStr">
        <is>
          <t>OK</t>
        </is>
      </c>
      <c r="K380" s="7" t="inlineStr">
        <is>
          <t>2026-10-14</t>
        </is>
      </c>
      <c r="L380" s="7" t="inlineStr">
        <is>
          <t>Suite automatizada</t>
        </is>
      </c>
    </row>
    <row r="381">
      <c r="A381" s="7" t="inlineStr">
        <is>
          <t>TA-380</t>
        </is>
      </c>
      <c r="B381" s="7" t="inlineStr">
        <is>
          <t>Sprint 3</t>
        </is>
      </c>
      <c r="C381" s="7" t="inlineStr">
        <is>
          <t>Visitas de la Casa de Convivencia</t>
        </is>
      </c>
      <c r="D381" s="7" t="inlineStr">
        <is>
          <t>Validar: Editar visita Pendiente</t>
        </is>
      </c>
      <c r="E381" s="7" t="inlineStr">
        <is>
          <t>Respalda TC-78: 204</t>
        </is>
      </c>
      <c r="F381" s="7" t="inlineStr">
        <is>
          <t>API levantada con WebApplicationFactory.</t>
        </is>
      </c>
      <c r="G381" s="7" t="inlineStr">
        <is>
          <t>SCRUM-19</t>
        </is>
      </c>
      <c r="H381" s="7" t="inlineStr">
        <is>
          <t>1. PUT /api/casona-visits/{id}  →  204</t>
        </is>
      </c>
      <c r="I381" s="7" t="inlineStr">
        <is>
          <t>Vicaria.IntegrationTests › CasonaVisitsEndpointTests › Put_OnPendingVisit_Returns204</t>
        </is>
      </c>
      <c r="J381" s="7" t="inlineStr">
        <is>
          <t>OK</t>
        </is>
      </c>
      <c r="K381" s="7" t="inlineStr">
        <is>
          <t>2026-10-14</t>
        </is>
      </c>
      <c r="L381" s="7" t="inlineStr">
        <is>
          <t>Suite automatizada</t>
        </is>
      </c>
    </row>
    <row r="382">
      <c r="A382" s="7" t="inlineStr">
        <is>
          <t>TA-381</t>
        </is>
      </c>
      <c r="B382" s="7" t="inlineStr">
        <is>
          <t>Sprint 3</t>
        </is>
      </c>
      <c r="C382" s="7" t="inlineStr">
        <is>
          <t>Visitas de la Casa de Convivencia</t>
        </is>
      </c>
      <c r="D382" s="7" t="inlineStr">
        <is>
          <t>Validar: Editar visita cerrada</t>
        </is>
      </c>
      <c r="E382" s="7" t="inlineStr">
        <is>
          <t>Respalda TC-79: 409</t>
        </is>
      </c>
      <c r="F382" s="7" t="inlineStr">
        <is>
          <t>API levantada con WebApplicationFactory.</t>
        </is>
      </c>
      <c r="G382" s="7" t="inlineStr">
        <is>
          <t>SCRUM-19</t>
        </is>
      </c>
      <c r="H382" s="7" t="inlineStr">
        <is>
          <t>1. PUT sobre Realizada / Cancelada  →  409</t>
        </is>
      </c>
      <c r="I382" s="7" t="inlineStr">
        <is>
          <t>Vicaria.IntegrationTests › CasonaVisitsEndpointTests › Put_OnCompletedVisit_Returns409</t>
        </is>
      </c>
      <c r="J382" s="7" t="inlineStr">
        <is>
          <t>OK</t>
        </is>
      </c>
      <c r="K382" s="7" t="inlineStr">
        <is>
          <t>2026-10-14</t>
        </is>
      </c>
      <c r="L382" s="7" t="inlineStr">
        <is>
          <t>Suite automatizada</t>
        </is>
      </c>
    </row>
    <row r="383">
      <c r="A383" s="7" t="inlineStr">
        <is>
          <t>TA-382</t>
        </is>
      </c>
      <c r="B383" s="7" t="inlineStr">
        <is>
          <t>Sprint 3</t>
        </is>
      </c>
      <c r="C383" s="7" t="inlineStr">
        <is>
          <t>Visitas de la Casa de Convivencia</t>
        </is>
      </c>
      <c r="D383" s="7" t="inlineStr">
        <is>
          <t>Validar: Cancelar sin motivo</t>
        </is>
      </c>
      <c r="E383" s="7" t="inlineStr">
        <is>
          <t>Respalda TC-80: 204 (el motivo es opcional, decisión del 2026-10-09)</t>
        </is>
      </c>
      <c r="F383" s="7" t="inlineStr">
        <is>
          <t>API levantada con WebApplicationFactory.</t>
        </is>
      </c>
      <c r="G383" s="7" t="inlineStr">
        <is>
          <t>SCRUM-19</t>
        </is>
      </c>
      <c r="H383" s="7" t="inlineStr">
        <is>
          <t>1. PUT estado Cancelada sin motivo  →  204 (el motivo es opcional, decisión del 2026-10-09)</t>
        </is>
      </c>
      <c r="I383" s="7" t="inlineStr">
        <is>
          <t>Vicaria.IntegrationTests › CasonaVisitsEndpointTests › Put_CancelledWithoutReason_Returns204</t>
        </is>
      </c>
      <c r="J383" s="7" t="inlineStr">
        <is>
          <t>OK</t>
        </is>
      </c>
      <c r="K383" s="7" t="inlineStr">
        <is>
          <t>2026-10-14</t>
        </is>
      </c>
      <c r="L383" s="7" t="inlineStr">
        <is>
          <t>Suite automatizada</t>
        </is>
      </c>
    </row>
    <row r="384">
      <c r="A384" s="7" t="inlineStr">
        <is>
          <t>TA-383</t>
        </is>
      </c>
      <c r="B384" s="7" t="inlineStr">
        <is>
          <t>Sprint 3</t>
        </is>
      </c>
      <c r="C384" s="7" t="inlineStr">
        <is>
          <t>Visitas de la Casa de Convivencia</t>
        </is>
      </c>
      <c r="D384" s="7" t="inlineStr">
        <is>
          <t>Validar: Guardar igual en el alta</t>
        </is>
      </c>
      <c r="E384" s="7" t="inlineStr">
        <is>
          <t>Respalda TC-142: 201</t>
        </is>
      </c>
      <c r="F384" s="7" t="inlineStr">
        <is>
          <t>API levantada con WebApplicationFactory.</t>
        </is>
      </c>
      <c r="G384" s="7" t="inlineStr">
        <is>
          <t>SCRUM-74</t>
        </is>
      </c>
      <c r="H384" s="7" t="inlineStr">
        <is>
          <t>1. POST /api/casona-visits solapada con allowOverlap: true  →  201</t>
        </is>
      </c>
      <c r="I384" s="7" t="inlineStr">
        <is>
          <t>Vicaria.IntegrationTests › CasonaVisitsEndpointTests › Post_OverlappingVisitWithAllowOverlap_Returns201</t>
        </is>
      </c>
      <c r="J384" s="7" t="inlineStr">
        <is>
          <t>OK</t>
        </is>
      </c>
      <c r="K384" s="7" t="inlineStr">
        <is>
          <t>2026-10-14</t>
        </is>
      </c>
      <c r="L384" s="7" t="inlineStr">
        <is>
          <t>Suite automatizada</t>
        </is>
      </c>
    </row>
    <row r="385">
      <c r="A385" s="7" t="inlineStr">
        <is>
          <t>TA-384</t>
        </is>
      </c>
      <c r="B385" s="7" t="inlineStr">
        <is>
          <t>Sprint 3</t>
        </is>
      </c>
      <c r="C385" s="7" t="inlineStr">
        <is>
          <t>Visitas de la Casa de Convivencia</t>
        </is>
      </c>
      <c r="D385" s="7" t="inlineStr">
        <is>
          <t>Validar: Guardar igual en la edición</t>
        </is>
      </c>
      <c r="E385" s="7" t="inlineStr">
        <is>
          <t>Respalda TC-143: 409 y luego 204</t>
        </is>
      </c>
      <c r="F385" s="7" t="inlineStr">
        <is>
          <t>API levantada con WebApplicationFactory.</t>
        </is>
      </c>
      <c r="G385" s="7" t="inlineStr">
        <is>
          <t>SCRUM-74</t>
        </is>
      </c>
      <c r="H385" s="7" t="inlineStr">
        <is>
          <t>1. PUT solapado: sin confirmar 409, con allowOverlap: true 204  →  409 y luego 204</t>
        </is>
      </c>
      <c r="I385" s="7" t="inlineStr">
        <is>
          <t>Vicaria.IntegrationTests › CasonaVisitsEndpointTests › Put_OverlappingVisitWithAllowOverlap_Returns204</t>
        </is>
      </c>
      <c r="J385" s="7" t="inlineStr">
        <is>
          <t>OK</t>
        </is>
      </c>
      <c r="K385" s="7" t="inlineStr">
        <is>
          <t>2026-10-14</t>
        </is>
      </c>
      <c r="L385" s="7" t="inlineStr">
        <is>
          <t>Suite automatizada</t>
        </is>
      </c>
    </row>
    <row r="386">
      <c r="A386" s="7" t="inlineStr">
        <is>
          <t>TA-385</t>
        </is>
      </c>
      <c r="B386" s="7" t="inlineStr">
        <is>
          <t>Sprint 3</t>
        </is>
      </c>
      <c r="C386" s="7" t="inlineStr">
        <is>
          <t>Visitas de la Casa de Convivencia</t>
        </is>
      </c>
      <c r="D386" s="7" t="inlineStr">
        <is>
          <t>Validar: PUT inválidos</t>
        </is>
      </c>
      <c r="E386" s="7" t="inlineStr">
        <is>
          <t>Respalda TC-81: 400 / 400 / 404</t>
        </is>
      </c>
      <c r="F386" s="7" t="inlineStr">
        <is>
          <t>API levantada con WebApplicationFactory.</t>
        </is>
      </c>
      <c r="G386" s="7" t="inlineStr">
        <is>
          <t>SCRUM-19</t>
        </is>
      </c>
      <c r="H386" s="7" t="inlineStr">
        <is>
          <t>1. Estado inválido, mover al pasado, id inexistente  →  400 / 400 / 404</t>
        </is>
      </c>
      <c r="I386" s="7" t="inlineStr">
        <is>
          <t>Vicaria.IntegrationTests › CasonaVisitsEndpointTests › Put_WithInvalidStatusValue_Returns400</t>
        </is>
      </c>
      <c r="J386" s="7" t="inlineStr">
        <is>
          <t>OK</t>
        </is>
      </c>
      <c r="K386" s="7" t="inlineStr">
        <is>
          <t>2026-10-14</t>
        </is>
      </c>
      <c r="L386" s="7" t="inlineStr">
        <is>
          <t>Suite automatizada</t>
        </is>
      </c>
    </row>
    <row r="387">
      <c r="A387" s="7" t="inlineStr">
        <is>
          <t>TA-386</t>
        </is>
      </c>
      <c r="B387" s="7" t="inlineStr">
        <is>
          <t>Sprint 3</t>
        </is>
      </c>
      <c r="C387" s="7" t="inlineStr">
        <is>
          <t>Visitas de la Casa de Convivencia</t>
        </is>
      </c>
      <c r="D387" s="7" t="inlineStr">
        <is>
          <t>Validar: PUT inválidos</t>
        </is>
      </c>
      <c r="E387" s="7" t="inlineStr">
        <is>
          <t>Respalda TC-81: 400 / 400 / 404</t>
        </is>
      </c>
      <c r="F387" s="7" t="inlineStr">
        <is>
          <t>API levantada con WebApplicationFactory.</t>
        </is>
      </c>
      <c r="G387" s="7" t="inlineStr">
        <is>
          <t>SCRUM-19</t>
        </is>
      </c>
      <c r="H387" s="7" t="inlineStr">
        <is>
          <t>1. Estado inválido, mover al pasado, id inexistente  →  400 / 400 / 404</t>
        </is>
      </c>
      <c r="I387" s="7" t="inlineStr">
        <is>
          <t>Vicaria.IntegrationTests › CasonaVisitsEndpointTests › Put_MovingVisitToPast_Returns400</t>
        </is>
      </c>
      <c r="J387" s="7" t="inlineStr">
        <is>
          <t>OK</t>
        </is>
      </c>
      <c r="K387" s="7" t="inlineStr">
        <is>
          <t>2026-10-14</t>
        </is>
      </c>
      <c r="L387" s="7" t="inlineStr">
        <is>
          <t>Suite automatizada</t>
        </is>
      </c>
    </row>
    <row r="388">
      <c r="A388" s="7" t="inlineStr">
        <is>
          <t>TA-387</t>
        </is>
      </c>
      <c r="B388" s="7" t="inlineStr">
        <is>
          <t>Sprint 3</t>
        </is>
      </c>
      <c r="C388" s="7" t="inlineStr">
        <is>
          <t>Visitas de la Casa de Convivencia</t>
        </is>
      </c>
      <c r="D388" s="7" t="inlineStr">
        <is>
          <t>Validar: PUT inválidos</t>
        </is>
      </c>
      <c r="E388" s="7" t="inlineStr">
        <is>
          <t>Respalda TC-81: 400 / 400 / 404</t>
        </is>
      </c>
      <c r="F388" s="7" t="inlineStr">
        <is>
          <t>API levantada con WebApplicationFactory.</t>
        </is>
      </c>
      <c r="G388" s="7" t="inlineStr">
        <is>
          <t>SCRUM-19</t>
        </is>
      </c>
      <c r="H388" s="7" t="inlineStr">
        <is>
          <t>1. Estado inválido, mover al pasado, id inexistente  →  400 / 400 / 404</t>
        </is>
      </c>
      <c r="I388" s="7" t="inlineStr">
        <is>
          <t>Vicaria.IntegrationTests › CasonaVisitsEndpointTests › Put_UnknownVisit_Returns404</t>
        </is>
      </c>
      <c r="J388" s="7" t="inlineStr">
        <is>
          <t>OK</t>
        </is>
      </c>
      <c r="K388" s="7" t="inlineStr">
        <is>
          <t>2026-10-14</t>
        </is>
      </c>
      <c r="L388" s="7" t="inlineStr">
        <is>
          <t>Suite automatizada</t>
        </is>
      </c>
    </row>
    <row r="389">
      <c r="A389" s="7" t="inlineStr">
        <is>
          <t>TA-388</t>
        </is>
      </c>
      <c r="B389" s="7" t="inlineStr">
        <is>
          <t>Sprint 3</t>
        </is>
      </c>
      <c r="C389" s="7" t="inlineStr">
        <is>
          <t>Visitas de la Casa de Convivencia</t>
        </is>
      </c>
      <c r="D389" s="7" t="inlineStr">
        <is>
          <t>Validar: Escucha no puede escribir</t>
        </is>
      </c>
      <c r="E389" s="7" t="inlineStr">
        <is>
          <t>Respalda TC-74: 403</t>
        </is>
      </c>
      <c r="F389" s="7" t="inlineStr">
        <is>
          <t>API levantada con WebApplicationFactory.</t>
        </is>
      </c>
      <c r="G389" s="7" t="inlineStr">
        <is>
          <t>SCRUM-19</t>
        </is>
      </c>
      <c r="H389" s="7" t="inlineStr">
        <is>
          <t>1. POST / PUT con Esc  →  403</t>
        </is>
      </c>
      <c r="I389" s="7" t="inlineStr">
        <is>
          <t>Vicaria.IntegrationTests › CasonaVisitsEndpointTests › Put_WithListenerRole_Returns403</t>
        </is>
      </c>
      <c r="J389" s="7" t="inlineStr">
        <is>
          <t>OK</t>
        </is>
      </c>
      <c r="K389" s="7" t="inlineStr">
        <is>
          <t>2026-10-14</t>
        </is>
      </c>
      <c r="L389" s="7" t="inlineStr">
        <is>
          <t>Suite automatizada</t>
        </is>
      </c>
    </row>
    <row r="390">
      <c r="A390" s="7" t="inlineStr">
        <is>
          <t>TA-389</t>
        </is>
      </c>
      <c r="B390" s="7" t="inlineStr">
        <is>
          <t>Sprint 3</t>
        </is>
      </c>
      <c r="C390" s="7" t="inlineStr">
        <is>
          <t>Visitas de la Casa de Convivencia</t>
        </is>
      </c>
      <c r="D390" s="7" t="inlineStr">
        <is>
          <t>Validar: Listar eventos por rango</t>
        </is>
      </c>
      <c r="E390" s="7" t="inlineStr">
        <is>
          <t>Respalda TC-41: 200; ocurrencias recurrentes expandidas, paginado</t>
        </is>
      </c>
      <c r="F390" s="7" t="inlineStr">
        <is>
          <t>API levantada con WebApplicationFactory.</t>
        </is>
      </c>
      <c r="G390" s="7" t="inlineStr">
        <is>
          <t>SCRUM-</t>
        </is>
      </c>
      <c r="H390" s="7" t="inlineStr">
        <is>
          <t>1. GET /api/general-calendar-events?from=2026-10-12&amp;to=2026-10-18 con cada rol  →  200; ocurrencias recurrentes expandidas, paginado</t>
        </is>
      </c>
      <c r="I390" s="7" t="inlineStr">
        <is>
          <t>Vicaria.IntegrationTests › CasonaVisitsEndpointTests › Get_WithEachAuthorizedRole_Returns200</t>
        </is>
      </c>
      <c r="J390" s="7" t="inlineStr">
        <is>
          <t>OK</t>
        </is>
      </c>
      <c r="K390" s="7" t="inlineStr">
        <is>
          <t>2026-10-14</t>
        </is>
      </c>
      <c r="L390" s="7" t="inlineStr">
        <is>
          <t>Suite automatizada</t>
        </is>
      </c>
    </row>
    <row r="391">
      <c r="A391" s="7" t="inlineStr">
        <is>
          <t>TA-390</t>
        </is>
      </c>
      <c r="B391" s="7" t="inlineStr">
        <is>
          <t>Sprint 3</t>
        </is>
      </c>
      <c r="C391" s="7" t="inlineStr">
        <is>
          <t>Visitas de la Casa de Convivencia</t>
        </is>
      </c>
      <c r="D391" s="7" t="inlineStr">
        <is>
          <t>Validar: Consulta por rango</t>
        </is>
      </c>
      <c r="E391" s="7" t="inlineStr">
        <is>
          <t>Respalda TC-82: 200 paginado, solo visitas del rango</t>
        </is>
      </c>
      <c r="F391" s="7" t="inlineStr">
        <is>
          <t>API levantada con WebApplicationFactory.</t>
        </is>
      </c>
      <c r="G391" s="7" t="inlineStr">
        <is>
          <t>SCRUM-19</t>
        </is>
      </c>
      <c r="H391" s="7" t="inlineStr">
        <is>
          <t>1. GET /api/casona-visits?from&amp;to con los 4 roles  →  200 paginado, solo visitas del rango</t>
        </is>
      </c>
      <c r="I391" s="7" t="inlineStr">
        <is>
          <t>Vicaria.IntegrationTests › CasonaVisitsEndpointTests › Get_ReturnsOnlyVisitsInRangeWithPagedShape</t>
        </is>
      </c>
      <c r="J391" s="7" t="inlineStr">
        <is>
          <t>OK</t>
        </is>
      </c>
      <c r="K391" s="7" t="inlineStr">
        <is>
          <t>2026-10-14</t>
        </is>
      </c>
      <c r="L391" s="7" t="inlineStr">
        <is>
          <t>Suite automatizada</t>
        </is>
      </c>
    </row>
    <row r="392">
      <c r="A392" s="7" t="inlineStr">
        <is>
          <t>TA-391</t>
        </is>
      </c>
      <c r="B392" s="7" t="inlineStr">
        <is>
          <t>Sprint 3</t>
        </is>
      </c>
      <c r="C392" s="7" t="inlineStr">
        <is>
          <t>Visitas de la Casa de Convivencia</t>
        </is>
      </c>
      <c r="D392" s="7" t="inlineStr">
        <is>
          <t>Validar: Sin rango usa la semana actual</t>
        </is>
      </c>
      <c r="E392" s="7" t="inlineStr">
        <is>
          <t>Respalda TC-42: 200 con forma paginada</t>
        </is>
      </c>
      <c r="F392" s="7" t="inlineStr">
        <is>
          <t>API levantada con WebApplicationFactory.</t>
        </is>
      </c>
      <c r="G392" s="7" t="inlineStr">
        <is>
          <t>SCRUM-</t>
        </is>
      </c>
      <c r="H392" s="7" t="inlineStr">
        <is>
          <t>1. GET sin from/to  →  200 con forma paginada</t>
        </is>
      </c>
      <c r="I392" s="7" t="inlineStr">
        <is>
          <t>Vicaria.IntegrationTests › CasonaVisitsEndpointTests › Get_WithoutRange_Returns200WithPagedShape</t>
        </is>
      </c>
      <c r="J392" s="7" t="inlineStr">
        <is>
          <t>OK</t>
        </is>
      </c>
      <c r="K392" s="7" t="inlineStr">
        <is>
          <t>2026-10-14</t>
        </is>
      </c>
      <c r="L392" s="7" t="inlineStr">
        <is>
          <t>Suite automatizada</t>
        </is>
      </c>
    </row>
    <row r="393">
      <c r="A393" s="7" t="inlineStr">
        <is>
          <t>TA-392</t>
        </is>
      </c>
      <c r="B393" s="7" t="inlineStr">
        <is>
          <t>Sprint 3</t>
        </is>
      </c>
      <c r="C393" s="7" t="inlineStr">
        <is>
          <t>Visitas de la Casa de Convivencia</t>
        </is>
      </c>
      <c r="D393" s="7" t="inlineStr">
        <is>
          <t>Validar: Rango inválido</t>
        </is>
      </c>
      <c r="E393" s="7" t="inlineStr">
        <is>
          <t>Respalda TC-43: 400 "El parámetro 'from' no puede ser posterior a 'to'."</t>
        </is>
      </c>
      <c r="F393" s="7" t="inlineStr">
        <is>
          <t>API levantada con WebApplicationFactory.</t>
        </is>
      </c>
      <c r="G393" s="7" t="inlineStr">
        <is>
          <t>SCRUM-</t>
        </is>
      </c>
      <c r="H393" s="7" t="inlineStr">
        <is>
          <t>1. from posterior a to  →  400 "El parámetro 'from' no puede ser posterior a 'to'."</t>
        </is>
      </c>
      <c r="I393" s="7" t="inlineStr">
        <is>
          <t>Vicaria.IntegrationTests › CasonaVisitsEndpointTests › Get_WithFromAfterTo_Returns400</t>
        </is>
      </c>
      <c r="J393" s="7" t="inlineStr">
        <is>
          <t>OK</t>
        </is>
      </c>
      <c r="K393" s="7" t="inlineStr">
        <is>
          <t>2026-10-14</t>
        </is>
      </c>
      <c r="L393" s="7" t="inlineStr">
        <is>
          <t>Suite automatizada</t>
        </is>
      </c>
    </row>
    <row r="394">
      <c r="A394" s="7" t="inlineStr">
        <is>
          <t>TA-393</t>
        </is>
      </c>
      <c r="B394" s="7" t="inlineStr">
        <is>
          <t>Sprint 3</t>
        </is>
      </c>
      <c r="C394" s="7" t="inlineStr">
        <is>
          <t>Visitas de la Casa de Convivencia</t>
        </is>
      </c>
      <c r="D394" s="7" t="inlineStr">
        <is>
          <t>Validar: Sin sesión</t>
        </is>
      </c>
      <c r="E394" s="7" t="inlineStr">
        <is>
          <t>Respalda TC-45: 401</t>
        </is>
      </c>
      <c r="F394" s="7" t="inlineStr">
        <is>
          <t>API levantada con WebApplicationFactory.</t>
        </is>
      </c>
      <c r="G394" s="7" t="inlineStr">
        <is>
          <t>SCRUM-</t>
        </is>
      </c>
      <c r="H394" s="7" t="inlineStr">
        <is>
          <t>1. GET sin token  →  401</t>
        </is>
      </c>
      <c r="I394" s="7" t="inlineStr">
        <is>
          <t>Vicaria.IntegrationTests › CasonaVisitsEndpointTests › Get_WithoutToken_Returns401</t>
        </is>
      </c>
      <c r="J394" s="7" t="inlineStr">
        <is>
          <t>OK</t>
        </is>
      </c>
      <c r="K394" s="7" t="inlineStr">
        <is>
          <t>2026-10-14</t>
        </is>
      </c>
      <c r="L394" s="7" t="inlineStr">
        <is>
          <t>Suite automatizada</t>
        </is>
      </c>
    </row>
    <row r="395">
      <c r="A395" s="7" t="inlineStr">
        <is>
          <t>TA-394</t>
        </is>
      </c>
      <c r="B395" s="7" t="inlineStr">
        <is>
          <t>Sprint 3</t>
        </is>
      </c>
      <c r="C395" s="7" t="inlineStr">
        <is>
          <t>Visitas de la Casa de Convivencia</t>
        </is>
      </c>
      <c r="D395" s="7" t="inlineStr">
        <is>
          <t>Validar: Marcar visita realizada</t>
        </is>
      </c>
      <c r="E395" s="7" t="inlineStr">
        <is>
          <t>Respalda TC-124: 204; queda Completed; AuditLog "Visita marcada como realizada"</t>
        </is>
      </c>
      <c r="F395" s="7" t="inlineStr">
        <is>
          <t>API levantada con WebApplicationFactory.</t>
        </is>
      </c>
      <c r="G395" s="7" t="inlineStr">
        <is>
          <t>SCRUM-74</t>
        </is>
      </c>
      <c r="H395" s="7" t="inlineStr">
        <is>
          <t>1. PATCH /api/casona-visits/{id}/status {status: 1}  →  204; queda Completed; AuditLog "Visita marcada como realizada"</t>
        </is>
      </c>
      <c r="I395" s="7" t="inlineStr">
        <is>
          <t>Vicaria.IntegrationTests › CasonaVisitsEndpointTests › Patch_ToCompleted_Returns204AndPersistsStatus</t>
        </is>
      </c>
      <c r="J395" s="7" t="inlineStr">
        <is>
          <t>OK</t>
        </is>
      </c>
      <c r="K395" s="7" t="inlineStr">
        <is>
          <t>2026-10-14</t>
        </is>
      </c>
      <c r="L395" s="7" t="inlineStr">
        <is>
          <t>Suite automatizada</t>
        </is>
      </c>
    </row>
    <row r="396">
      <c r="A396" s="7" t="inlineStr">
        <is>
          <t>TA-395</t>
        </is>
      </c>
      <c r="B396" s="7" t="inlineStr">
        <is>
          <t>Sprint 3</t>
        </is>
      </c>
      <c r="C396" s="7" t="inlineStr">
        <is>
          <t>Visitas de la Casa de Convivencia</t>
        </is>
      </c>
      <c r="D396" s="7" t="inlineStr">
        <is>
          <t>Validar: Cancelar con motivo</t>
        </is>
      </c>
      <c r="E396" s="7" t="inlineStr">
        <is>
          <t>Respalda TC-125: 204; guarda el motivo; AuditLog "Visita cancelada"</t>
        </is>
      </c>
      <c r="F396" s="7" t="inlineStr">
        <is>
          <t>API levantada con WebApplicationFactory.</t>
        </is>
      </c>
      <c r="G396" s="7" t="inlineStr">
        <is>
          <t>SCRUM-74</t>
        </is>
      </c>
      <c r="H396" s="7" t="inlineStr">
        <is>
          <t>1. PATCH {status: 2, cancellationReason}  →  204; guarda el motivo; AuditLog "Visita cancelada"</t>
        </is>
      </c>
      <c r="I396" s="7" t="inlineStr">
        <is>
          <t>Vicaria.IntegrationTests › CasonaVisitsEndpointTests › Patch_ToCancelled_StoresReason</t>
        </is>
      </c>
      <c r="J396" s="7" t="inlineStr">
        <is>
          <t>OK</t>
        </is>
      </c>
      <c r="K396" s="7" t="inlineStr">
        <is>
          <t>2026-10-14</t>
        </is>
      </c>
      <c r="L396" s="7" t="inlineStr">
        <is>
          <t>Suite automatizada</t>
        </is>
      </c>
    </row>
    <row r="397">
      <c r="A397" s="7" t="inlineStr">
        <is>
          <t>TA-396</t>
        </is>
      </c>
      <c r="B397" s="7" t="inlineStr">
        <is>
          <t>Sprint 3</t>
        </is>
      </c>
      <c r="C397" s="7" t="inlineStr">
        <is>
          <t>Visitas de la Casa de Convivencia</t>
        </is>
      </c>
      <c r="D397" s="7" t="inlineStr">
        <is>
          <t>Validar: Estado inválido / visita inexistente</t>
        </is>
      </c>
      <c r="E397" s="7" t="inlineStr">
        <is>
          <t>Respalda TC-126: 400 / 404</t>
        </is>
      </c>
      <c r="F397" s="7" t="inlineStr">
        <is>
          <t>API levantada con WebApplicationFactory.</t>
        </is>
      </c>
      <c r="G397" s="7" t="inlineStr">
        <is>
          <t>SCRUM-74</t>
        </is>
      </c>
      <c r="H397" s="7" t="inlineStr">
        <is>
          <t>1. PATCH {status: 9}; id desconocido  →  400 / 404</t>
        </is>
      </c>
      <c r="I397" s="7" t="inlineStr">
        <is>
          <t>Vicaria.IntegrationTests › CasonaVisitsEndpointTests › Patch_UnknownVisit_Returns404</t>
        </is>
      </c>
      <c r="J397" s="7" t="inlineStr">
        <is>
          <t>OK</t>
        </is>
      </c>
      <c r="K397" s="7" t="inlineStr">
        <is>
          <t>2026-10-14</t>
        </is>
      </c>
      <c r="L397" s="7" t="inlineStr">
        <is>
          <t>Suite automatizada</t>
        </is>
      </c>
    </row>
    <row r="398">
      <c r="A398" s="7" t="inlineStr">
        <is>
          <t>TA-397</t>
        </is>
      </c>
      <c r="B398" s="7" t="inlineStr">
        <is>
          <t>Sprint 3</t>
        </is>
      </c>
      <c r="C398" s="7" t="inlineStr">
        <is>
          <t>Visitas de la Casa de Convivencia</t>
        </is>
      </c>
      <c r="D398" s="7" t="inlineStr">
        <is>
          <t>Validar: Estado inválido / visita inexistente</t>
        </is>
      </c>
      <c r="E398" s="7" t="inlineStr">
        <is>
          <t>Respalda TC-126: 400 / 404</t>
        </is>
      </c>
      <c r="F398" s="7" t="inlineStr">
        <is>
          <t>API levantada con WebApplicationFactory.</t>
        </is>
      </c>
      <c r="G398" s="7" t="inlineStr">
        <is>
          <t>SCRUM-74</t>
        </is>
      </c>
      <c r="H398" s="7" t="inlineStr">
        <is>
          <t>1. PATCH {status: 9}; id desconocido  →  400 / 404</t>
        </is>
      </c>
      <c r="I398" s="7" t="inlineStr">
        <is>
          <t>Vicaria.IntegrationTests › CasonaVisitsEndpointTests › Patch_WithInvalidStatusValue_Returns400</t>
        </is>
      </c>
      <c r="J398" s="7" t="inlineStr">
        <is>
          <t>OK</t>
        </is>
      </c>
      <c r="K398" s="7" t="inlineStr">
        <is>
          <t>2026-10-14</t>
        </is>
      </c>
      <c r="L398" s="7" t="inlineStr">
        <is>
          <t>Suite automatizada</t>
        </is>
      </c>
    </row>
    <row r="399">
      <c r="A399" s="7" t="inlineStr">
        <is>
          <t>TA-398</t>
        </is>
      </c>
      <c r="B399" s="7" t="inlineStr">
        <is>
          <t>Sprint 3</t>
        </is>
      </c>
      <c r="C399" s="7" t="inlineStr">
        <is>
          <t>Visitas de la Casa de Convivencia</t>
        </is>
      </c>
      <c r="D399" s="7" t="inlineStr">
        <is>
          <t>Validar: Escucha sin acceso a visitas</t>
        </is>
      </c>
      <c r="E399" s="7" t="inlineStr">
        <is>
          <t>Respalda TC-128: 403</t>
        </is>
      </c>
      <c r="F399" s="7" t="inlineStr">
        <is>
          <t>API levantada con WebApplicationFactory.</t>
        </is>
      </c>
      <c r="G399" s="7" t="inlineStr">
        <is>
          <t>SCRUM-74</t>
        </is>
      </c>
      <c r="H399" s="7" t="inlineStr">
        <is>
          <t>1. GET / PATCH con Esc  →  403</t>
        </is>
      </c>
      <c r="I399" s="7" t="inlineStr">
        <is>
          <t>Vicaria.IntegrationTests › CasonaVisitsEndpointTests › Patch_WithListenerRole_Returns403</t>
        </is>
      </c>
      <c r="J399" s="7" t="inlineStr">
        <is>
          <t>OK</t>
        </is>
      </c>
      <c r="K399" s="7" t="inlineStr">
        <is>
          <t>2026-10-14</t>
        </is>
      </c>
      <c r="L399" s="7" t="inlineStr">
        <is>
          <t>Suite automatizada</t>
        </is>
      </c>
    </row>
    <row r="400">
      <c r="A400" s="7" t="inlineStr">
        <is>
          <t>TA-399</t>
        </is>
      </c>
      <c r="B400" s="7" t="inlineStr">
        <is>
          <t>Sprint 3</t>
        </is>
      </c>
      <c r="C400" s="7" t="inlineStr">
        <is>
          <t>Visitas de la Casa de Convivencia</t>
        </is>
      </c>
      <c r="D400" s="7" t="inlineStr">
        <is>
          <t>Validar: Escucha sin acceso a visitas</t>
        </is>
      </c>
      <c r="E400" s="7" t="inlineStr">
        <is>
          <t>Respalda TC-128: 403</t>
        </is>
      </c>
      <c r="F400" s="7" t="inlineStr">
        <is>
          <t>API levantada con WebApplicationFactory.</t>
        </is>
      </c>
      <c r="G400" s="7" t="inlineStr">
        <is>
          <t>SCRUM-74</t>
        </is>
      </c>
      <c r="H400" s="7" t="inlineStr">
        <is>
          <t>1. GET / PATCH con Esc  →  403</t>
        </is>
      </c>
      <c r="I400" s="7" t="inlineStr">
        <is>
          <t>Vicaria.IntegrationTests › CasonaVisitsEndpointTests › Get_WithListenerRole_Returns403</t>
        </is>
      </c>
      <c r="J400" s="7" t="inlineStr">
        <is>
          <t>OK</t>
        </is>
      </c>
      <c r="K400" s="7" t="inlineStr">
        <is>
          <t>2026-10-14</t>
        </is>
      </c>
      <c r="L400" s="7" t="inlineStr">
        <is>
          <t>Suite automatizada</t>
        </is>
      </c>
    </row>
    <row r="401">
      <c r="A401" s="7" t="inlineStr">
        <is>
          <t>TA-400</t>
        </is>
      </c>
      <c r="B401" s="7" t="inlineStr">
        <is>
          <t>Sprint 3</t>
        </is>
      </c>
      <c r="C401" s="7" t="inlineStr">
        <is>
          <t>Colaboradores</t>
        </is>
      </c>
      <c r="D401" s="7" t="inlineStr">
        <is>
          <t>Validar: Alta exitosa</t>
        </is>
      </c>
      <c r="E401" s="7" t="inlineStr">
        <is>
          <t>Respalda TC-56: 201 con id</t>
        </is>
      </c>
      <c r="F401" s="7" t="inlineStr">
        <is>
          <t>API levantada con WebApplicationFactory.</t>
        </is>
      </c>
      <c r="G401" s="7" t="inlineStr">
        <is>
          <t>SCRUM-17</t>
        </is>
      </c>
      <c r="H401" s="7" t="inlineStr">
        <is>
          <t>1. POST /api/collaborators con Ref  →  201 con id</t>
        </is>
      </c>
      <c r="I401" s="7" t="inlineStr">
        <is>
          <t>Vicaria.IntegrationTests › CollaboratorsEndpointTests › Post_WithReferente_Returns201WithId</t>
        </is>
      </c>
      <c r="J401" s="7" t="inlineStr">
        <is>
          <t>OK</t>
        </is>
      </c>
      <c r="K401" s="7" t="inlineStr">
        <is>
          <t>2026-10-14</t>
        </is>
      </c>
      <c r="L401" s="7" t="inlineStr">
        <is>
          <t>Suite automatizada</t>
        </is>
      </c>
    </row>
    <row r="402">
      <c r="A402" s="7" t="inlineStr">
        <is>
          <t>TA-401</t>
        </is>
      </c>
      <c r="B402" s="7" t="inlineStr">
        <is>
          <t>Sprint 3</t>
        </is>
      </c>
      <c r="C402" s="7" t="inlineStr">
        <is>
          <t>Colaboradores</t>
        </is>
      </c>
      <c r="D402" s="7" t="inlineStr">
        <is>
          <t>Validar: Rol no permitido</t>
        </is>
      </c>
      <c r="E402" s="7" t="inlineStr">
        <is>
          <t>Respalda TC-58: 403</t>
        </is>
      </c>
      <c r="F402" s="7" t="inlineStr">
        <is>
          <t>API levantada con WebApplicationFactory.</t>
        </is>
      </c>
      <c r="G402" s="7" t="inlineStr">
        <is>
          <t>SCRUM-17</t>
        </is>
      </c>
      <c r="H402" s="7" t="inlineStr">
        <is>
          <t>1. POST con Dir / Esc / Coo  →  403</t>
        </is>
      </c>
      <c r="I402" s="7" t="inlineStr">
        <is>
          <t>Vicaria.IntegrationTests › CollaboratorsEndpointTests › Post_WithUnauthorizedRole_Returns403</t>
        </is>
      </c>
      <c r="J402" s="7" t="inlineStr">
        <is>
          <t>OK</t>
        </is>
      </c>
      <c r="K402" s="7" t="inlineStr">
        <is>
          <t>2026-10-14</t>
        </is>
      </c>
      <c r="L402" s="7" t="inlineStr">
        <is>
          <t>Suite automatizada</t>
        </is>
      </c>
    </row>
    <row r="403">
      <c r="A403" s="7" t="inlineStr">
        <is>
          <t>TA-402</t>
        </is>
      </c>
      <c r="B403" s="7" t="inlineStr">
        <is>
          <t>Sprint 3</t>
        </is>
      </c>
      <c r="C403" s="7" t="inlineStr">
        <is>
          <t>Colaboradores</t>
        </is>
      </c>
      <c r="D403" s="7" t="inlineStr">
        <is>
          <t>Validar: Sin sesión</t>
        </is>
      </c>
      <c r="E403" s="7" t="inlineStr">
        <is>
          <t>Respalda TC-48: 401</t>
        </is>
      </c>
      <c r="F403" s="7" t="inlineStr">
        <is>
          <t>API levantada con WebApplicationFactory.</t>
        </is>
      </c>
      <c r="G403" s="7" t="inlineStr">
        <is>
          <t>SCRUM-</t>
        </is>
      </c>
      <c r="H403" s="7" t="inlineStr">
        <is>
          <t>1. POST sin token  →  401</t>
        </is>
      </c>
      <c r="I403" s="7" t="inlineStr">
        <is>
          <t>Vicaria.IntegrationTests › CollaboratorsEndpointTests › Post_WithoutToken_Returns401</t>
        </is>
      </c>
      <c r="J403" s="7" t="inlineStr">
        <is>
          <t>OK</t>
        </is>
      </c>
      <c r="K403" s="7" t="inlineStr">
        <is>
          <t>2026-10-14</t>
        </is>
      </c>
      <c r="L403" s="7" t="inlineStr">
        <is>
          <t>Suite automatizada</t>
        </is>
      </c>
    </row>
    <row r="404">
      <c r="A404" s="7" t="inlineStr">
        <is>
          <t>TA-403</t>
        </is>
      </c>
      <c r="B404" s="7" t="inlineStr">
        <is>
          <t>Sprint 3</t>
        </is>
      </c>
      <c r="C404" s="7" t="inlineStr">
        <is>
          <t>Colaboradores</t>
        </is>
      </c>
      <c r="D404" s="7" t="inlineStr">
        <is>
          <t>Validar: Nombre obligatorio</t>
        </is>
      </c>
      <c r="E404" s="7" t="inlineStr">
        <is>
          <t>Respalda TC-60: 400 "El nombre es obligatorio."</t>
        </is>
      </c>
      <c r="F404" s="7" t="inlineStr">
        <is>
          <t>API levantada con WebApplicationFactory.</t>
        </is>
      </c>
      <c r="G404" s="7" t="inlineStr">
        <is>
          <t>SCRUM-17</t>
        </is>
      </c>
      <c r="H404" s="7" t="inlineStr">
        <is>
          <t>1. firstName vacío  →  400 "El nombre es obligatorio."</t>
        </is>
      </c>
      <c r="I404" s="7" t="inlineStr">
        <is>
          <t>Vicaria.IntegrationTests › CollaboratorsEndpointTests › Post_WithMissingFirstName_Returns400</t>
        </is>
      </c>
      <c r="J404" s="7" t="inlineStr">
        <is>
          <t>OK</t>
        </is>
      </c>
      <c r="K404" s="7" t="inlineStr">
        <is>
          <t>2026-10-14</t>
        </is>
      </c>
      <c r="L404" s="7" t="inlineStr">
        <is>
          <t>Suite automatizada</t>
        </is>
      </c>
    </row>
    <row r="405">
      <c r="A405" s="7" t="inlineStr">
        <is>
          <t>TA-404</t>
        </is>
      </c>
      <c r="B405" s="7" t="inlineStr">
        <is>
          <t>Sprint 3</t>
        </is>
      </c>
      <c r="C405" s="7" t="inlineStr">
        <is>
          <t>Colaboradores</t>
        </is>
      </c>
      <c r="D405" s="7" t="inlineStr">
        <is>
          <t>Validar: Nombre muy largo</t>
        </is>
      </c>
      <c r="E405" s="7" t="inlineStr">
        <is>
          <t>Respalda TC-61: 400</t>
        </is>
      </c>
      <c r="F405" s="7" t="inlineStr">
        <is>
          <t>API levantada con WebApplicationFactory.</t>
        </is>
      </c>
      <c r="G405" s="7" t="inlineStr">
        <is>
          <t>SCRUM-17</t>
        </is>
      </c>
      <c r="H405" s="7" t="inlineStr">
        <is>
          <t>1. &gt;100 caracteres  →  400</t>
        </is>
      </c>
      <c r="I405" s="7" t="inlineStr">
        <is>
          <t>Vicaria.IntegrationTests › CollaboratorsEndpointTests › Post_WithTooLongFirstName_Returns400</t>
        </is>
      </c>
      <c r="J405" s="7" t="inlineStr">
        <is>
          <t>OK</t>
        </is>
      </c>
      <c r="K405" s="7" t="inlineStr">
        <is>
          <t>2026-10-14</t>
        </is>
      </c>
      <c r="L405" s="7" t="inlineStr">
        <is>
          <t>Suite automatizada</t>
        </is>
      </c>
    </row>
    <row r="406">
      <c r="A406" s="7" t="inlineStr">
        <is>
          <t>TA-405</t>
        </is>
      </c>
      <c r="B406" s="7" t="inlineStr">
        <is>
          <t>Sprint 3</t>
        </is>
      </c>
      <c r="C406" s="7" t="inlineStr">
        <is>
          <t>Colaboradores</t>
        </is>
      </c>
      <c r="D406" s="7" t="inlineStr">
        <is>
          <t>Validar: Email inválido</t>
        </is>
      </c>
      <c r="E406" s="7" t="inlineStr">
        <is>
          <t>Respalda TC-62: 400 "El email no tiene un formato válido."</t>
        </is>
      </c>
      <c r="F406" s="7" t="inlineStr">
        <is>
          <t>API levantada con WebApplicationFactory.</t>
        </is>
      </c>
      <c r="G406" s="7" t="inlineStr">
        <is>
          <t>SCRUM-17</t>
        </is>
      </c>
      <c r="H406" s="7" t="inlineStr">
        <is>
          <t>1. email: "abc"  →  400 "El email no tiene un formato válido."</t>
        </is>
      </c>
      <c r="I406" s="7" t="inlineStr">
        <is>
          <t>Vicaria.IntegrationTests › CollaboratorsEndpointTests › Post_WithInvalidEmail_Returns400</t>
        </is>
      </c>
      <c r="J406" s="7" t="inlineStr">
        <is>
          <t>OK</t>
        </is>
      </c>
      <c r="K406" s="7" t="inlineStr">
        <is>
          <t>2026-10-14</t>
        </is>
      </c>
      <c r="L406" s="7" t="inlineStr">
        <is>
          <t>Suite automatizada</t>
        </is>
      </c>
    </row>
    <row r="407">
      <c r="A407" s="7" t="inlineStr">
        <is>
          <t>TA-406</t>
        </is>
      </c>
      <c r="B407" s="7" t="inlineStr">
        <is>
          <t>Sprint 3</t>
        </is>
      </c>
      <c r="C407" s="7" t="inlineStr">
        <is>
          <t>Colaboradores</t>
        </is>
      </c>
      <c r="D407" s="7" t="inlineStr">
        <is>
          <t>Validar: Alta con solo nombre</t>
        </is>
      </c>
      <c r="E407" s="7" t="inlineStr">
        <is>
          <t>Respalda TC-57: 201</t>
        </is>
      </c>
      <c r="F407" s="7" t="inlineStr">
        <is>
          <t>API levantada con WebApplicationFactory.</t>
        </is>
      </c>
      <c r="G407" s="7" t="inlineStr">
        <is>
          <t>SCRUM-17</t>
        </is>
      </c>
      <c r="H407" s="7" t="inlineStr">
        <is>
          <t>1. Campos opcionales nulos  →  201</t>
        </is>
      </c>
      <c r="I407" s="7" t="inlineStr">
        <is>
          <t>Vicaria.IntegrationTests › CollaboratorsEndpointTests › Post_WithNullOptionalFields_Returns201</t>
        </is>
      </c>
      <c r="J407" s="7" t="inlineStr">
        <is>
          <t>OK</t>
        </is>
      </c>
      <c r="K407" s="7" t="inlineStr">
        <is>
          <t>2026-10-14</t>
        </is>
      </c>
      <c r="L407" s="7" t="inlineStr">
        <is>
          <t>Suite automatizada</t>
        </is>
      </c>
    </row>
    <row r="408">
      <c r="A408" s="7" t="inlineStr">
        <is>
          <t>TA-407</t>
        </is>
      </c>
      <c r="B408" s="7" t="inlineStr">
        <is>
          <t>Sprint 3</t>
        </is>
      </c>
      <c r="C408" s="7" t="inlineStr">
        <is>
          <t>Colaboradores</t>
        </is>
      </c>
      <c r="D408" s="7" t="inlineStr">
        <is>
          <t>Validar: DNI duplicado</t>
        </is>
      </c>
      <c r="E408" s="7" t="inlineStr">
        <is>
          <t>Respalda TC-63: 409</t>
        </is>
      </c>
      <c r="F408" s="7" t="inlineStr">
        <is>
          <t>API levantada con WebApplicationFactory.</t>
        </is>
      </c>
      <c r="G408" s="7" t="inlineStr">
        <is>
          <t>SCRUM-17</t>
        </is>
      </c>
      <c r="H408" s="7" t="inlineStr">
        <is>
          <t>1. Dos altas con igual DNI  →  409</t>
        </is>
      </c>
      <c r="I408" s="7" t="inlineStr">
        <is>
          <t>Vicaria.IntegrationTests › CollaboratorsEndpointTests › Post_WithDuplicateDni_Returns409</t>
        </is>
      </c>
      <c r="J408" s="7" t="inlineStr">
        <is>
          <t>OK</t>
        </is>
      </c>
      <c r="K408" s="7" t="inlineStr">
        <is>
          <t>2026-10-14</t>
        </is>
      </c>
      <c r="L408" s="7" t="inlineStr">
        <is>
          <t>Suite automatizada</t>
        </is>
      </c>
    </row>
    <row r="409">
      <c r="A409" s="7" t="inlineStr">
        <is>
          <t>TA-408</t>
        </is>
      </c>
      <c r="B409" s="7" t="inlineStr">
        <is>
          <t>Sprint 3</t>
        </is>
      </c>
      <c r="C409" s="7" t="inlineStr">
        <is>
          <t>Colaboradores</t>
        </is>
      </c>
      <c r="D409" s="7" t="inlineStr">
        <is>
          <t>Validar: Auditoría y autor</t>
        </is>
      </c>
      <c r="E409" s="7" t="inlineStr">
        <is>
          <t>Respalda TC-64: Se guarda el actor y se escribe AuditLog</t>
        </is>
      </c>
      <c r="F409" s="7" t="inlineStr">
        <is>
          <t>API levantada con WebApplicationFactory.</t>
        </is>
      </c>
      <c r="G409" s="7" t="inlineStr">
        <is>
          <t>SCRUM-17</t>
        </is>
      </c>
      <c r="H409" s="7" t="inlineStr">
        <is>
          <t>1. Alta y revisar BD  →  Se guarda el actor y se escribe AuditLog</t>
        </is>
      </c>
      <c r="I409" s="7" t="inlineStr">
        <is>
          <t>Vicaria.IntegrationTests › CollaboratorsEndpointTests › Post_PersistsCollaboratorWithActorAndWritesAuditLog</t>
        </is>
      </c>
      <c r="J409" s="7" t="inlineStr">
        <is>
          <t>OK</t>
        </is>
      </c>
      <c r="K409" s="7" t="inlineStr">
        <is>
          <t>2026-10-14</t>
        </is>
      </c>
      <c r="L409" s="7" t="inlineStr">
        <is>
          <t>Suite automatizada</t>
        </is>
      </c>
    </row>
    <row r="410">
      <c r="A410" s="7" t="inlineStr">
        <is>
          <t>TA-409</t>
        </is>
      </c>
      <c r="B410" s="7" t="inlineStr">
        <is>
          <t>Sprint 3</t>
        </is>
      </c>
      <c r="C410" s="7" t="inlineStr">
        <is>
          <t>Colaboradores</t>
        </is>
      </c>
      <c r="D410" s="7" t="inlineStr">
        <is>
          <t>Validar: Buscar por nombre</t>
        </is>
      </c>
      <c r="E410" s="7" t="inlineStr">
        <is>
          <t>Respalda TC-65: 200 con coincidencias</t>
        </is>
      </c>
      <c r="F410" s="7" t="inlineStr">
        <is>
          <t>API levantada con WebApplicationFactory.</t>
        </is>
      </c>
      <c r="G410" s="7" t="inlineStr">
        <is>
          <t>SCRUM-18</t>
        </is>
      </c>
      <c r="H410" s="7" t="inlineStr">
        <is>
          <t>1. GET /api/collaborators/search?q=ana  →  200 con coincidencias</t>
        </is>
      </c>
      <c r="I410" s="7" t="inlineStr">
        <is>
          <t>Vicaria.IntegrationTests › CollaboratorsEndpointTests › Search_WithToken_Returns200WithMatch</t>
        </is>
      </c>
      <c r="J410" s="7" t="inlineStr">
        <is>
          <t>OK</t>
        </is>
      </c>
      <c r="K410" s="7" t="inlineStr">
        <is>
          <t>2026-10-14</t>
        </is>
      </c>
      <c r="L410" s="7" t="inlineStr">
        <is>
          <t>Suite automatizada</t>
        </is>
      </c>
    </row>
    <row r="411">
      <c r="A411" s="7" t="inlineStr">
        <is>
          <t>TA-410</t>
        </is>
      </c>
      <c r="B411" s="7" t="inlineStr">
        <is>
          <t>Sprint 3</t>
        </is>
      </c>
      <c r="C411" s="7" t="inlineStr">
        <is>
          <t>Colaboradores</t>
        </is>
      </c>
      <c r="D411" s="7" t="inlineStr">
        <is>
          <t>Validar: Ignora tildes y mayúsculas</t>
        </is>
      </c>
      <c r="E411" s="7" t="inlineStr">
        <is>
          <t>Respalda TC-66: Encuentra</t>
        </is>
      </c>
      <c r="F411" s="7" t="inlineStr">
        <is>
          <t>API levantada con WebApplicationFactory.</t>
        </is>
      </c>
      <c r="G411" s="7" t="inlineStr">
        <is>
          <t>SCRUM-18</t>
        </is>
      </c>
      <c r="H411" s="7" t="inlineStr">
        <is>
          <t>1. q=JOSE vs "José"  →  Encuentra</t>
        </is>
      </c>
      <c r="I411" s="7" t="inlineStr">
        <is>
          <t>Vicaria.IntegrationTests › CollaboratorsEndpointTests › Search_IgnoresAccentsAndCase</t>
        </is>
      </c>
      <c r="J411" s="7" t="inlineStr">
        <is>
          <t>OK</t>
        </is>
      </c>
      <c r="K411" s="7" t="inlineStr">
        <is>
          <t>2026-10-14</t>
        </is>
      </c>
      <c r="L411" s="7" t="inlineStr">
        <is>
          <t>Suite automatizada</t>
        </is>
      </c>
    </row>
    <row r="412">
      <c r="A412" s="7" t="inlineStr">
        <is>
          <t>TA-411</t>
        </is>
      </c>
      <c r="B412" s="7" t="inlineStr">
        <is>
          <t>Sprint 3</t>
        </is>
      </c>
      <c r="C412" s="7" t="inlineStr">
        <is>
          <t>Colaboradores</t>
        </is>
      </c>
      <c r="D412" s="7" t="inlineStr">
        <is>
          <t>Validar: Ignora tildes y mayúsculas</t>
        </is>
      </c>
      <c r="E412" s="7" t="inlineStr">
        <is>
          <t>Respalda TC-66: Encuentra</t>
        </is>
      </c>
      <c r="F412" s="7" t="inlineStr">
        <is>
          <t>API levantada con WebApplicationFactory.</t>
        </is>
      </c>
      <c r="G412" s="7" t="inlineStr">
        <is>
          <t>SCRUM-18</t>
        </is>
      </c>
      <c r="H412" s="7" t="inlineStr">
        <is>
          <t>1. q=JOSE vs "José"  →  Encuentra</t>
        </is>
      </c>
      <c r="I412" s="7" t="inlineStr">
        <is>
          <t>Vicaria.IntegrationTests › CollaboratorsEndpointTests › Search_ByLastNameWithoutAccents_FindsCollaborator</t>
        </is>
      </c>
      <c r="J412" s="7" t="inlineStr">
        <is>
          <t>OK</t>
        </is>
      </c>
      <c r="K412" s="7" t="inlineStr">
        <is>
          <t>2026-10-14</t>
        </is>
      </c>
      <c r="L412" s="7" t="inlineStr">
        <is>
          <t>Suite automatizada</t>
        </is>
      </c>
    </row>
    <row r="413">
      <c r="A413" s="7" t="inlineStr">
        <is>
          <t>TA-412</t>
        </is>
      </c>
      <c r="B413" s="7" t="inlineStr">
        <is>
          <t>Sprint 3</t>
        </is>
      </c>
      <c r="C413" s="7" t="inlineStr">
        <is>
          <t>Colaboradores</t>
        </is>
      </c>
      <c r="D413" s="7" t="inlineStr">
        <is>
          <t>Validar: Buscar por área</t>
        </is>
      </c>
      <c r="E413" s="7" t="inlineStr">
        <is>
          <t>Respalda TC-67: Encuentra por workArea</t>
        </is>
      </c>
      <c r="F413" s="7" t="inlineStr">
        <is>
          <t>API levantada con WebApplicationFactory.</t>
        </is>
      </c>
      <c r="G413" s="7" t="inlineStr">
        <is>
          <t>SCRUM-18</t>
        </is>
      </c>
      <c r="H413" s="7" t="inlineStr">
        <is>
          <t>1. q=cocina  →  Encuentra por workArea</t>
        </is>
      </c>
      <c r="I413" s="7" t="inlineStr">
        <is>
          <t>Vicaria.IntegrationTests › CollaboratorsEndpointTests › Search_ByWorkArea_FindsCollaborator</t>
        </is>
      </c>
      <c r="J413" s="7" t="inlineStr">
        <is>
          <t>OK</t>
        </is>
      </c>
      <c r="K413" s="7" t="inlineStr">
        <is>
          <t>2026-10-14</t>
        </is>
      </c>
      <c r="L413" s="7" t="inlineStr">
        <is>
          <t>Suite automatizada</t>
        </is>
      </c>
    </row>
    <row r="414">
      <c r="A414" s="7" t="inlineStr">
        <is>
          <t>TA-413</t>
        </is>
      </c>
      <c r="B414" s="7" t="inlineStr">
        <is>
          <t>Sprint 3</t>
        </is>
      </c>
      <c r="C414" s="7" t="inlineStr">
        <is>
          <t>Colaboradores</t>
        </is>
      </c>
      <c r="D414" s="7" t="inlineStr">
        <is>
          <t>Validar: Filtro por tipo</t>
        </is>
      </c>
      <c r="E414" s="7" t="inlineStr">
        <is>
          <t>Respalda TC-68: Solo ese tipo</t>
        </is>
      </c>
      <c r="F414" s="7" t="inlineStr">
        <is>
          <t>API levantada con WebApplicationFactory.</t>
        </is>
      </c>
      <c r="G414" s="7" t="inlineStr">
        <is>
          <t>SCRUM-18</t>
        </is>
      </c>
      <c r="H414" s="7" t="inlineStr">
        <is>
          <t>1. type=Volunteer / Employee  →  Solo ese tipo</t>
        </is>
      </c>
      <c r="I414" s="7" t="inlineStr">
        <is>
          <t>Vicaria.IntegrationTests › CollaboratorsEndpointTests › Search_WithTypeFilter_ReturnsOnlyThatType</t>
        </is>
      </c>
      <c r="J414" s="7" t="inlineStr">
        <is>
          <t>OK</t>
        </is>
      </c>
      <c r="K414" s="7" t="inlineStr">
        <is>
          <t>2026-10-14</t>
        </is>
      </c>
      <c r="L414" s="7" t="inlineStr">
        <is>
          <t>Suite automatizada</t>
        </is>
      </c>
    </row>
    <row r="415">
      <c r="A415" s="7" t="inlineStr">
        <is>
          <t>TA-414</t>
        </is>
      </c>
      <c r="B415" s="7" t="inlineStr">
        <is>
          <t>Sprint 3</t>
        </is>
      </c>
      <c r="C415" s="7" t="inlineStr">
        <is>
          <t>Colaboradores</t>
        </is>
      </c>
      <c r="D415" s="7" t="inlineStr">
        <is>
          <t>Validar: Sin sesión</t>
        </is>
      </c>
      <c r="E415" s="7" t="inlineStr">
        <is>
          <t>Respalda TC-72: 401</t>
        </is>
      </c>
      <c r="F415" s="7" t="inlineStr">
        <is>
          <t>API levantada con WebApplicationFactory.</t>
        </is>
      </c>
      <c r="G415" s="7" t="inlineStr">
        <is>
          <t>SCRUM-18</t>
        </is>
      </c>
      <c r="H415" s="7" t="inlineStr">
        <is>
          <t>1. GET sin token  →  401</t>
        </is>
      </c>
      <c r="I415" s="7" t="inlineStr">
        <is>
          <t>Vicaria.IntegrationTests › CollaboratorsEndpointTests › Search_WithoutToken_Returns401</t>
        </is>
      </c>
      <c r="J415" s="7" t="inlineStr">
        <is>
          <t>OK</t>
        </is>
      </c>
      <c r="K415" s="7" t="inlineStr">
        <is>
          <t>2026-10-14</t>
        </is>
      </c>
      <c r="L415" s="7" t="inlineStr">
        <is>
          <t>Suite automatizada</t>
        </is>
      </c>
    </row>
    <row r="416">
      <c r="A416" s="7" t="inlineStr">
        <is>
          <t>TA-415</t>
        </is>
      </c>
      <c r="B416" s="7" t="inlineStr">
        <is>
          <t>Sprint 3</t>
        </is>
      </c>
      <c r="C416" s="7" t="inlineStr">
        <is>
          <t>Colaboradores</t>
        </is>
      </c>
      <c r="D416" s="7" t="inlineStr">
        <is>
          <t>Validar: Sin resultados / vacío</t>
        </is>
      </c>
      <c r="E416" s="7" t="inlineStr">
        <is>
          <t>Respalda TC-69: 200 lista vacía</t>
        </is>
      </c>
      <c r="F416" s="7" t="inlineStr">
        <is>
          <t>API levantada con WebApplicationFactory.</t>
        </is>
      </c>
      <c r="G416" s="7" t="inlineStr">
        <is>
          <t>SCRUM-18</t>
        </is>
      </c>
      <c r="H416" s="7" t="inlineStr">
        <is>
          <t>1. q vacío o nulo  →  200 lista vacía</t>
        </is>
      </c>
      <c r="I416" s="7" t="inlineStr">
        <is>
          <t>Vicaria.IntegrationTests › CollaboratorsEndpointTests › Search_WithEmptyOrNullQuery_Returns200WithEmptyList</t>
        </is>
      </c>
      <c r="J416" s="7" t="inlineStr">
        <is>
          <t>OK</t>
        </is>
      </c>
      <c r="K416" s="7" t="inlineStr">
        <is>
          <t>2026-10-14</t>
        </is>
      </c>
      <c r="L416" s="7" t="inlineStr">
        <is>
          <t>Suite automatizada</t>
        </is>
      </c>
    </row>
    <row r="417">
      <c r="A417" s="7" t="inlineStr">
        <is>
          <t>TA-416</t>
        </is>
      </c>
      <c r="B417" s="7" t="inlineStr">
        <is>
          <t>Sprint 3</t>
        </is>
      </c>
      <c r="C417" s="7" t="inlineStr">
        <is>
          <t>Colaboradores</t>
        </is>
      </c>
      <c r="D417" s="7" t="inlineStr">
        <is>
          <t>Validar: Entrada inválida</t>
        </is>
      </c>
      <c r="E417" s="7" t="inlineStr">
        <is>
          <t>Respalda TC-70: 400 con mensaje en español</t>
        </is>
      </c>
      <c r="F417" s="7" t="inlineStr">
        <is>
          <t>API levantada con WebApplicationFactory.</t>
        </is>
      </c>
      <c r="G417" s="7" t="inlineStr">
        <is>
          <t>SCRUM-18</t>
        </is>
      </c>
      <c r="H417" s="7" t="inlineStr">
        <is>
          <t>1. q &gt;100 chars; type inválido  →  400 con mensaje en español</t>
        </is>
      </c>
      <c r="I417" s="7" t="inlineStr">
        <is>
          <t>Vicaria.IntegrationTests › CollaboratorsEndpointTests › Search_WithTooLongQuery_Returns400WithSpanishMessage</t>
        </is>
      </c>
      <c r="J417" s="7" t="inlineStr">
        <is>
          <t>OK</t>
        </is>
      </c>
      <c r="K417" s="7" t="inlineStr">
        <is>
          <t>2026-10-14</t>
        </is>
      </c>
      <c r="L417" s="7" t="inlineStr">
        <is>
          <t>Suite automatizada</t>
        </is>
      </c>
    </row>
    <row r="418">
      <c r="A418" s="7" t="inlineStr">
        <is>
          <t>TA-417</t>
        </is>
      </c>
      <c r="B418" s="7" t="inlineStr">
        <is>
          <t>Sprint 3</t>
        </is>
      </c>
      <c r="C418" s="7" t="inlineStr">
        <is>
          <t>Colaboradores</t>
        </is>
      </c>
      <c r="D418" s="7" t="inlineStr">
        <is>
          <t>Validar: Entrada inválida</t>
        </is>
      </c>
      <c r="E418" s="7" t="inlineStr">
        <is>
          <t>Respalda TC-70: 400 con mensaje en español</t>
        </is>
      </c>
      <c r="F418" s="7" t="inlineStr">
        <is>
          <t>API levantada con WebApplicationFactory.</t>
        </is>
      </c>
      <c r="G418" s="7" t="inlineStr">
        <is>
          <t>SCRUM-18</t>
        </is>
      </c>
      <c r="H418" s="7" t="inlineStr">
        <is>
          <t>1. q &gt;100 chars; type inválido  →  400 con mensaje en español</t>
        </is>
      </c>
      <c r="I418" s="7" t="inlineStr">
        <is>
          <t>Vicaria.IntegrationTests › CollaboratorsEndpointTests › Search_WithInvalidTypeValue_Returns400</t>
        </is>
      </c>
      <c r="J418" s="7" t="inlineStr">
        <is>
          <t>OK</t>
        </is>
      </c>
      <c r="K418" s="7" t="inlineStr">
        <is>
          <t>2026-10-14</t>
        </is>
      </c>
      <c r="L418" s="7" t="inlineStr">
        <is>
          <t>Suite automatizada</t>
        </is>
      </c>
    </row>
    <row r="419">
      <c r="A419" s="7" t="inlineStr">
        <is>
          <t>TA-418</t>
        </is>
      </c>
      <c r="B419" s="7" t="inlineStr">
        <is>
          <t>Sprint 3</t>
        </is>
      </c>
      <c r="C419" s="7" t="inlineStr">
        <is>
          <t>Colaboradores</t>
        </is>
      </c>
      <c r="D419" s="7" t="inlineStr">
        <is>
          <t>Validar: Search · WithNullLastName · ComposesFullNameWithFirstNameOnly</t>
        </is>
      </c>
      <c r="E419" s="7" t="inlineStr">
        <is>
          <t>Sin TC manual asociado; descripción derivada del nombre del test.</t>
        </is>
      </c>
      <c r="F419" s="7" t="inlineStr">
        <is>
          <t>API levantada con WebApplicationFactory.</t>
        </is>
      </c>
      <c r="G419" s="7" t="inlineStr">
        <is>
          <t>SCRUM-18 / SCRUM-19</t>
        </is>
      </c>
      <c r="H419" s="7" t="inlineStr"/>
      <c r="I419" s="7" t="inlineStr">
        <is>
          <t>Vicaria.IntegrationTests › CollaboratorsEndpointTests › Search_WithNullLastName_ComposesFullNameWithFirstNameOnly</t>
        </is>
      </c>
      <c r="J419" s="7" t="inlineStr">
        <is>
          <t>OK</t>
        </is>
      </c>
      <c r="K419" s="7" t="inlineStr">
        <is>
          <t>2026-10-14</t>
        </is>
      </c>
      <c r="L419" s="7" t="inlineStr">
        <is>
          <t>Suite automatizada</t>
        </is>
      </c>
    </row>
    <row r="420">
      <c r="A420" s="7" t="inlineStr">
        <is>
          <t>TA-419</t>
        </is>
      </c>
      <c r="B420" s="7" t="inlineStr">
        <is>
          <t>Sprint 3</t>
        </is>
      </c>
      <c r="C420" s="7" t="inlineStr">
        <is>
          <t>Colaboradores</t>
        </is>
      </c>
      <c r="D420" s="7" t="inlineStr">
        <is>
          <t>Validar: Comodín `%` literal</t>
        </is>
      </c>
      <c r="E420" s="7" t="inlineStr">
        <is>
          <t>Respalda TC-71: Solo coincide con % literal</t>
        </is>
      </c>
      <c r="F420" s="7" t="inlineStr">
        <is>
          <t>API levantada con WebApplicationFactory.</t>
        </is>
      </c>
      <c r="G420" s="7" t="inlineStr">
        <is>
          <t>SCRUM-18</t>
        </is>
      </c>
      <c r="H420" s="7" t="inlineStr">
        <is>
          <t>1. q=%  →  Solo coincide con % literal</t>
        </is>
      </c>
      <c r="I420" s="7" t="inlineStr">
        <is>
          <t>Vicaria.IntegrationTests › CollaboratorsEndpointTests › Search_WithPercentWildcard_MatchesOnlyLiteralPercent</t>
        </is>
      </c>
      <c r="J420" s="7" t="inlineStr">
        <is>
          <t>OK</t>
        </is>
      </c>
      <c r="K420" s="7" t="inlineStr">
        <is>
          <t>2026-10-14</t>
        </is>
      </c>
      <c r="L420" s="7" t="inlineStr">
        <is>
          <t>Suite automatizada</t>
        </is>
      </c>
    </row>
    <row r="421">
      <c r="A421" s="7" t="inlineStr">
        <is>
          <t>TA-420</t>
        </is>
      </c>
      <c r="B421" s="7" t="inlineStr">
        <is>
          <t>Sprint 3</t>
        </is>
      </c>
      <c r="C421" s="7" t="inlineStr">
        <is>
          <t>Colaboradores</t>
        </is>
      </c>
      <c r="D421" s="7" t="inlineStr">
        <is>
          <t>Validar: Listado completo</t>
        </is>
      </c>
      <c r="E421" s="7" t="inlineStr">
        <is>
          <t>Respalda TC-123: 200 ordenado por nombre, con isActive y quién lo registró</t>
        </is>
      </c>
      <c r="F421" s="7" t="inlineStr">
        <is>
          <t>API levantada con WebApplicationFactory.</t>
        </is>
      </c>
      <c r="G421" s="7" t="inlineStr">
        <is>
          <t>SCRUM-19</t>
        </is>
      </c>
      <c r="H421" s="7" t="inlineStr">
        <is>
          <t>1. GET /api/collaborators  →  200 ordenado por nombre, con isActive y quién lo registró</t>
        </is>
      </c>
      <c r="I421" s="7" t="inlineStr">
        <is>
          <t>Vicaria.IntegrationTests › CollaboratorsEndpointTests › List_ReturnsCollaboratorsWithRegisteredByName</t>
        </is>
      </c>
      <c r="J421" s="7" t="inlineStr">
        <is>
          <t>OK</t>
        </is>
      </c>
      <c r="K421" s="7" t="inlineStr">
        <is>
          <t>2026-10-14</t>
        </is>
      </c>
      <c r="L421" s="7" t="inlineStr">
        <is>
          <t>Suite automatizada</t>
        </is>
      </c>
    </row>
    <row r="422">
      <c r="A422" s="7" t="inlineStr">
        <is>
          <t>TA-421</t>
        </is>
      </c>
      <c r="B422" s="7" t="inlineStr">
        <is>
          <t>Sprint 3</t>
        </is>
      </c>
      <c r="C422" s="7" t="inlineStr">
        <is>
          <t>Colaboradores</t>
        </is>
      </c>
      <c r="D422" s="7" t="inlineStr">
        <is>
          <t>Validar: Listado completo</t>
        </is>
      </c>
      <c r="E422" s="7" t="inlineStr">
        <is>
          <t>Respalda TC-123: 200 ordenado por nombre, con isActive y quién lo registró</t>
        </is>
      </c>
      <c r="F422" s="7" t="inlineStr">
        <is>
          <t>API levantada con WebApplicationFactory.</t>
        </is>
      </c>
      <c r="G422" s="7" t="inlineStr">
        <is>
          <t>SCRUM-19</t>
        </is>
      </c>
      <c r="H422" s="7" t="inlineStr">
        <is>
          <t>1. GET /api/collaborators  →  200 ordenado por nombre, con isActive y quién lo registró</t>
        </is>
      </c>
      <c r="I422" s="7" t="inlineStr">
        <is>
          <t>Vicaria.IntegrationTests › CollaboratorsEndpointTests › List_WithoutToken_Returns401</t>
        </is>
      </c>
      <c r="J422" s="7" t="inlineStr">
        <is>
          <t>OK</t>
        </is>
      </c>
      <c r="K422" s="7" t="inlineStr">
        <is>
          <t>2026-10-14</t>
        </is>
      </c>
      <c r="L422" s="7" t="inlineStr">
        <is>
          <t>Suite automatizada</t>
        </is>
      </c>
    </row>
    <row r="423">
      <c r="A423" s="7" t="inlineStr">
        <is>
          <t>TA-422</t>
        </is>
      </c>
      <c r="B423" s="7" t="inlineStr">
        <is>
          <t>Sprint 3</t>
        </is>
      </c>
      <c r="C423" s="7" t="inlineStr">
        <is>
          <t>Colaboradores</t>
        </is>
      </c>
      <c r="D423" s="7" t="inlineStr">
        <is>
          <t>Validar: Editar colaborador</t>
        </is>
      </c>
      <c r="E423" s="7" t="inlineStr">
        <is>
          <t>Respalda TC-115: 204; el detalle refleja los cambios; AuditLog "Colaborador modificado"</t>
        </is>
      </c>
      <c r="F423" s="7" t="inlineStr">
        <is>
          <t>API levantada con WebApplicationFactory.</t>
        </is>
      </c>
      <c r="G423" s="7" t="inlineStr">
        <is>
          <t>SCRUM-18</t>
        </is>
      </c>
      <c r="H423" s="7" t="inlineStr">
        <is>
          <t>1. PUT /api/collaborators/{id} con Ref  →  204; el detalle refleja los cambios; AuditLog "Colaborador modificado"</t>
        </is>
      </c>
      <c r="I423" s="7" t="inlineStr">
        <is>
          <t>Vicaria.IntegrationTests › CollaboratorsEndpointTests › Put_ByReferent_Returns204AndDetailReflectsChanges</t>
        </is>
      </c>
      <c r="J423" s="7" t="inlineStr">
        <is>
          <t>OK</t>
        </is>
      </c>
      <c r="K423" s="7" t="inlineStr">
        <is>
          <t>2026-10-14</t>
        </is>
      </c>
      <c r="L423" s="7" t="inlineStr">
        <is>
          <t>Suite automatizada</t>
        </is>
      </c>
    </row>
    <row r="424">
      <c r="A424" s="7" t="inlineStr">
        <is>
          <t>TA-423</t>
        </is>
      </c>
      <c r="B424" s="7" t="inlineStr">
        <is>
          <t>Sprint 3</t>
        </is>
      </c>
      <c r="C424" s="7" t="inlineStr">
        <is>
          <t>Colaboradores</t>
        </is>
      </c>
      <c r="D424" s="7" t="inlineStr">
        <is>
          <t>Validar: Baja lógica</t>
        </is>
      </c>
      <c r="E424" s="7" t="inlineStr">
        <is>
          <t>Respalda TC-116: 204; el listado lo marca inactivo; AuditLog "Colaborador dado de baja"</t>
        </is>
      </c>
      <c r="F424" s="7" t="inlineStr">
        <is>
          <t>API levantada con WebApplicationFactory.</t>
        </is>
      </c>
      <c r="G424" s="7" t="inlineStr">
        <is>
          <t>SCRUM-18</t>
        </is>
      </c>
      <c r="H424" s="7" t="inlineStr">
        <is>
          <t>1. PUT con isActive: false  →  204; el listado lo marca inactivo; AuditLog "Colaborador dado de baja"</t>
        </is>
      </c>
      <c r="I424" s="7" t="inlineStr">
        <is>
          <t>Vicaria.IntegrationTests › CollaboratorsEndpointTests › Put_WithIsActiveFalse_DeactivatesAndListShowsIt</t>
        </is>
      </c>
      <c r="J424" s="7" t="inlineStr">
        <is>
          <t>OK</t>
        </is>
      </c>
      <c r="K424" s="7" t="inlineStr">
        <is>
          <t>2026-10-14</t>
        </is>
      </c>
      <c r="L424" s="7" t="inlineStr">
        <is>
          <t>Suite automatizada</t>
        </is>
      </c>
    </row>
    <row r="425">
      <c r="A425" s="7" t="inlineStr">
        <is>
          <t>TA-424</t>
        </is>
      </c>
      <c r="B425" s="7" t="inlineStr">
        <is>
          <t>Sprint 3</t>
        </is>
      </c>
      <c r="C425" s="7" t="inlineStr">
        <is>
          <t>Colaboradores</t>
        </is>
      </c>
      <c r="D425" s="7" t="inlineStr">
        <is>
          <t>Validar: DNI duplicado al editar</t>
        </is>
      </c>
      <c r="E425" s="7" t="inlineStr">
        <is>
          <t>Respalda TC-118: 409; conservar el propio DNI es válido</t>
        </is>
      </c>
      <c r="F425" s="7" t="inlineStr">
        <is>
          <t>API levantada con WebApplicationFactory.</t>
        </is>
      </c>
      <c r="G425" s="7" t="inlineStr">
        <is>
          <t>SCRUM-18</t>
        </is>
      </c>
      <c r="H425" s="7" t="inlineStr">
        <is>
          <t>1. PUT con DNI de otro colaborador  →  409; conservar el propio DNI es válido</t>
        </is>
      </c>
      <c r="I425" s="7" t="inlineStr">
        <is>
          <t>Vicaria.IntegrationTests › CollaboratorsEndpointTests › Put_WithDuplicateDni_Returns409</t>
        </is>
      </c>
      <c r="J425" s="7" t="inlineStr">
        <is>
          <t>OK</t>
        </is>
      </c>
      <c r="K425" s="7" t="inlineStr">
        <is>
          <t>2026-10-14</t>
        </is>
      </c>
      <c r="L425" s="7" t="inlineStr">
        <is>
          <t>Suite automatizada</t>
        </is>
      </c>
    </row>
    <row r="426">
      <c r="A426" s="7" t="inlineStr">
        <is>
          <t>TA-425</t>
        </is>
      </c>
      <c r="B426" s="7" t="inlineStr">
        <is>
          <t>Sprint 3</t>
        </is>
      </c>
      <c r="C426" s="7" t="inlineStr">
        <is>
          <t>Colaboradores</t>
        </is>
      </c>
      <c r="D426" s="7" t="inlineStr">
        <is>
          <t>Validar: Validaciones al editar</t>
        </is>
      </c>
      <c r="E426" s="7" t="inlineStr">
        <is>
          <t>Respalda TC-119: 400 / 404</t>
        </is>
      </c>
      <c r="F426" s="7" t="inlineStr">
        <is>
          <t>API levantada con WebApplicationFactory.</t>
        </is>
      </c>
      <c r="G426" s="7" t="inlineStr">
        <is>
          <t>SCRUM-18</t>
        </is>
      </c>
      <c r="H426" s="7" t="inlineStr">
        <is>
          <t>1. firstName vacío; id inexistente  →  400 / 404</t>
        </is>
      </c>
      <c r="I426" s="7" t="inlineStr">
        <is>
          <t>Vicaria.IntegrationTests › CollaboratorsEndpointTests › Put_WithEmptyFirstName_Returns400</t>
        </is>
      </c>
      <c r="J426" s="7" t="inlineStr">
        <is>
          <t>OK</t>
        </is>
      </c>
      <c r="K426" s="7" t="inlineStr">
        <is>
          <t>2026-10-14</t>
        </is>
      </c>
      <c r="L426" s="7" t="inlineStr">
        <is>
          <t>Suite automatizada</t>
        </is>
      </c>
    </row>
    <row r="427">
      <c r="A427" s="7" t="inlineStr">
        <is>
          <t>TA-426</t>
        </is>
      </c>
      <c r="B427" s="7" t="inlineStr">
        <is>
          <t>Sprint 3</t>
        </is>
      </c>
      <c r="C427" s="7" t="inlineStr">
        <is>
          <t>Colaboradores</t>
        </is>
      </c>
      <c r="D427" s="7" t="inlineStr">
        <is>
          <t>Validar: Validaciones al editar</t>
        </is>
      </c>
      <c r="E427" s="7" t="inlineStr">
        <is>
          <t>Respalda TC-119: 400 / 404</t>
        </is>
      </c>
      <c r="F427" s="7" t="inlineStr">
        <is>
          <t>API levantada con WebApplicationFactory.</t>
        </is>
      </c>
      <c r="G427" s="7" t="inlineStr">
        <is>
          <t>SCRUM-18</t>
        </is>
      </c>
      <c r="H427" s="7" t="inlineStr">
        <is>
          <t>1. firstName vacío; id inexistente  →  400 / 404</t>
        </is>
      </c>
      <c r="I427" s="7" t="inlineStr">
        <is>
          <t>Vicaria.IntegrationTests › CollaboratorsEndpointTests › Put_UnknownCollaborator_Returns404</t>
        </is>
      </c>
      <c r="J427" s="7" t="inlineStr">
        <is>
          <t>OK</t>
        </is>
      </c>
      <c r="K427" s="7" t="inlineStr">
        <is>
          <t>2026-10-14</t>
        </is>
      </c>
      <c r="L427" s="7" t="inlineStr">
        <is>
          <t>Suite automatizada</t>
        </is>
      </c>
    </row>
    <row r="428">
      <c r="A428" s="7" t="inlineStr">
        <is>
          <t>TA-427</t>
        </is>
      </c>
      <c r="B428" s="7" t="inlineStr">
        <is>
          <t>Sprint 3</t>
        </is>
      </c>
      <c r="C428" s="7" t="inlineStr">
        <is>
          <t>Colaboradores</t>
        </is>
      </c>
      <c r="D428" s="7" t="inlineStr">
        <is>
          <t>Validar: Edición solo Referente</t>
        </is>
      </c>
      <c r="E428" s="7" t="inlineStr">
        <is>
          <t>Respalda TC-120: 403</t>
        </is>
      </c>
      <c r="F428" s="7" t="inlineStr">
        <is>
          <t>API levantada con WebApplicationFactory.</t>
        </is>
      </c>
      <c r="G428" s="7" t="inlineStr">
        <is>
          <t>SCRUM-18</t>
        </is>
      </c>
      <c r="H428" s="7" t="inlineStr">
        <is>
          <t>1. PUT con Dir / Esc / Coo  →  403</t>
        </is>
      </c>
      <c r="I428" s="7" t="inlineStr">
        <is>
          <t>Vicaria.IntegrationTests › CollaboratorsEndpointTests › Put_WithUnauthorizedRole_Returns403</t>
        </is>
      </c>
      <c r="J428" s="7" t="inlineStr">
        <is>
          <t>OK</t>
        </is>
      </c>
      <c r="K428" s="7" t="inlineStr">
        <is>
          <t>2026-10-14</t>
        </is>
      </c>
      <c r="L428" s="7" t="inlineStr">
        <is>
          <t>Suite automatizada</t>
        </is>
      </c>
    </row>
    <row r="429">
      <c r="A429" s="7" t="inlineStr">
        <is>
          <t>TA-428</t>
        </is>
      </c>
      <c r="B429" s="7" t="inlineStr">
        <is>
          <t>Sprint 3</t>
        </is>
      </c>
      <c r="C429" s="7" t="inlineStr">
        <is>
          <t>Colaboradores</t>
        </is>
      </c>
      <c r="D429" s="7" t="inlineStr">
        <is>
          <t>Validar: Detalle de colaborador</t>
        </is>
      </c>
      <c r="E429" s="7" t="inlineStr">
        <is>
          <t>Respalda TC-121: 200 con datos completos, estado y quién lo registró</t>
        </is>
      </c>
      <c r="F429" s="7" t="inlineStr">
        <is>
          <t>API levantada con WebApplicationFactory.</t>
        </is>
      </c>
      <c r="G429" s="7" t="inlineStr">
        <is>
          <t>SCRUM-19</t>
        </is>
      </c>
      <c r="H429" s="7" t="inlineStr">
        <is>
          <t>1. GET /api/collaborators/{id} con cualquier rol autenticado  →  200 con datos completos, estado y quién lo registró</t>
        </is>
      </c>
      <c r="I429" s="7" t="inlineStr">
        <is>
          <t>Vicaria.IntegrationTests › CollaboratorsEndpointTests › GetById_WithAnyAuthenticatedRole_Returns200WithRegistrar</t>
        </is>
      </c>
      <c r="J429" s="7" t="inlineStr">
        <is>
          <t>OK</t>
        </is>
      </c>
      <c r="K429" s="7" t="inlineStr">
        <is>
          <t>2026-10-14</t>
        </is>
      </c>
      <c r="L429" s="7" t="inlineStr">
        <is>
          <t>Suite automatizada</t>
        </is>
      </c>
    </row>
    <row r="430">
      <c r="A430" s="7" t="inlineStr">
        <is>
          <t>TA-429</t>
        </is>
      </c>
      <c r="B430" s="7" t="inlineStr">
        <is>
          <t>Sprint 3</t>
        </is>
      </c>
      <c r="C430" s="7" t="inlineStr">
        <is>
          <t>Colaboradores</t>
        </is>
      </c>
      <c r="D430" s="7" t="inlineStr">
        <is>
          <t>Validar: Detalle de evento</t>
        </is>
      </c>
      <c r="E430" s="7" t="inlineStr">
        <is>
          <t>Respalda TC-44: 200 / 404 "El evento especificado no existe."</t>
        </is>
      </c>
      <c r="F430" s="7" t="inlineStr">
        <is>
          <t>API levantada con WebApplicationFactory.</t>
        </is>
      </c>
      <c r="G430" s="7" t="inlineStr">
        <is>
          <t>SCRUM-</t>
        </is>
      </c>
      <c r="H430" s="7" t="inlineStr">
        <is>
          <t>1. GET /api/general-calendar-events/{id} existente / inexistente  →  200 / 404 "El evento especificado no existe."</t>
        </is>
      </c>
      <c r="I430" s="7" t="inlineStr">
        <is>
          <t>Vicaria.IntegrationTests › CollaboratorsEndpointTests › GetById_Unknown_Returns404</t>
        </is>
      </c>
      <c r="J430" s="7" t="inlineStr">
        <is>
          <t>OK</t>
        </is>
      </c>
      <c r="K430" s="7" t="inlineStr">
        <is>
          <t>2026-10-14</t>
        </is>
      </c>
      <c r="L430" s="7" t="inlineStr">
        <is>
          <t>Suite automatizada</t>
        </is>
      </c>
    </row>
    <row r="431">
      <c r="A431" s="7" t="inlineStr">
        <is>
          <t>TA-430</t>
        </is>
      </c>
      <c r="B431" s="7" t="inlineStr">
        <is>
          <t>Sprint 3</t>
        </is>
      </c>
      <c r="C431" s="7" t="inlineStr">
        <is>
          <t>Colaboradores</t>
        </is>
      </c>
      <c r="D431" s="7" t="inlineStr">
        <is>
          <t>Validar: Detalle inexistente / sin sesión</t>
        </is>
      </c>
      <c r="E431" s="7" t="inlineStr">
        <is>
          <t>Respalda TC-122: 404 / 401</t>
        </is>
      </c>
      <c r="F431" s="7" t="inlineStr">
        <is>
          <t>API levantada con WebApplicationFactory.</t>
        </is>
      </c>
      <c r="G431" s="7" t="inlineStr">
        <is>
          <t>SCRUM-19</t>
        </is>
      </c>
      <c r="H431" s="7" t="inlineStr">
        <is>
          <t>1. id desconocido; sin token  →  404 / 401</t>
        </is>
      </c>
      <c r="I431" s="7" t="inlineStr">
        <is>
          <t>Vicaria.IntegrationTests › CollaboratorsEndpointTests › GetById_WithoutToken_Returns401</t>
        </is>
      </c>
      <c r="J431" s="7" t="inlineStr">
        <is>
          <t>OK</t>
        </is>
      </c>
      <c r="K431" s="7" t="inlineStr">
        <is>
          <t>2026-10-14</t>
        </is>
      </c>
      <c r="L431" s="7" t="inlineStr">
        <is>
          <t>Suite automatizada</t>
        </is>
      </c>
    </row>
    <row r="432">
      <c r="A432" s="7" t="inlineStr">
        <is>
          <t>TA-431</t>
        </is>
      </c>
      <c r="B432" s="7" t="inlineStr">
        <is>
          <t>Sprint 4</t>
        </is>
      </c>
      <c r="C432" s="7" t="inlineStr">
        <is>
          <t>Esquema de medicación</t>
        </is>
      </c>
      <c r="D432" s="7" t="inlineStr">
        <is>
          <t>Validar: CreateAsync · WithValidDto · PersistsSchemeWithActorAndFullData</t>
        </is>
      </c>
      <c r="E432" s="7" t="inlineStr">
        <is>
          <t>Sin TC manual asociado; descripción derivada del nombre del test.</t>
        </is>
      </c>
      <c r="F432" s="7" t="inlineStr">
        <is>
          <t>Servicio con DbContext InMemory.</t>
        </is>
      </c>
      <c r="G432" s="7" t="inlineStr">
        <is>
          <t>SCRUM-59</t>
        </is>
      </c>
      <c r="H432" s="7" t="inlineStr"/>
      <c r="I432" s="7" t="inlineStr">
        <is>
          <t>Vicaria.UnitTests › MedicationSchemeServiceTests › CreateAsync_WithValidDto_PersistsSchemeWithActorAndFullData</t>
        </is>
      </c>
      <c r="J432" s="7" t="inlineStr">
        <is>
          <t>OK</t>
        </is>
      </c>
      <c r="K432" s="7" t="inlineStr">
        <is>
          <t>2026-10-14</t>
        </is>
      </c>
      <c r="L432" s="7" t="inlineStr">
        <is>
          <t>Suite automatizada</t>
        </is>
      </c>
    </row>
    <row r="433">
      <c r="A433" s="7" t="inlineStr">
        <is>
          <t>TA-432</t>
        </is>
      </c>
      <c r="B433" s="7" t="inlineStr">
        <is>
          <t>Sprint 4</t>
        </is>
      </c>
      <c r="C433" s="7" t="inlineStr">
        <is>
          <t>Esquema de medicación</t>
        </is>
      </c>
      <c r="D433" s="7" t="inlineStr">
        <is>
          <t>Validar: CreateAsync · WithZeroStock · MarksPendingStock</t>
        </is>
      </c>
      <c r="E433" s="7" t="inlineStr">
        <is>
          <t>Sin TC manual asociado; descripción derivada del nombre del test.</t>
        </is>
      </c>
      <c r="F433" s="7" t="inlineStr">
        <is>
          <t>Servicio con DbContext InMemory.</t>
        </is>
      </c>
      <c r="G433" s="7" t="inlineStr">
        <is>
          <t>SCRUM-59</t>
        </is>
      </c>
      <c r="H433" s="7" t="inlineStr"/>
      <c r="I433" s="7" t="inlineStr">
        <is>
          <t>Vicaria.UnitTests › MedicationSchemeServiceTests › CreateAsync_WithZeroStock_MarksPendingStock</t>
        </is>
      </c>
      <c r="J433" s="7" t="inlineStr">
        <is>
          <t>OK</t>
        </is>
      </c>
      <c r="K433" s="7" t="inlineStr">
        <is>
          <t>2026-10-14</t>
        </is>
      </c>
      <c r="L433" s="7" t="inlineStr">
        <is>
          <t>Suite automatizada</t>
        </is>
      </c>
    </row>
    <row r="434">
      <c r="A434" s="7" t="inlineStr">
        <is>
          <t>TA-433</t>
        </is>
      </c>
      <c r="B434" s="7" t="inlineStr">
        <is>
          <t>Sprint 4</t>
        </is>
      </c>
      <c r="C434" s="7" t="inlineStr">
        <is>
          <t>Esquema de medicación</t>
        </is>
      </c>
      <c r="D434" s="7" t="inlineStr">
        <is>
          <t>Validar: CreateAsync · WithUnknownPerson · ReturnsPersonNotFound</t>
        </is>
      </c>
      <c r="E434" s="7" t="inlineStr">
        <is>
          <t>Sin TC manual asociado; descripción derivada del nombre del test.</t>
        </is>
      </c>
      <c r="F434" s="7" t="inlineStr">
        <is>
          <t>Servicio con DbContext InMemory.</t>
        </is>
      </c>
      <c r="G434" s="7" t="inlineStr">
        <is>
          <t>SCRUM-59</t>
        </is>
      </c>
      <c r="H434" s="7" t="inlineStr"/>
      <c r="I434" s="7" t="inlineStr">
        <is>
          <t>Vicaria.UnitTests › MedicationSchemeServiceTests › CreateAsync_WithUnknownPerson_ReturnsPersonNotFound</t>
        </is>
      </c>
      <c r="J434" s="7" t="inlineStr">
        <is>
          <t>OK</t>
        </is>
      </c>
      <c r="K434" s="7" t="inlineStr">
        <is>
          <t>2026-10-14</t>
        </is>
      </c>
      <c r="L434" s="7" t="inlineStr">
        <is>
          <t>Suite automatizada</t>
        </is>
      </c>
    </row>
    <row r="435">
      <c r="A435" s="7" t="inlineStr">
        <is>
          <t>TA-434</t>
        </is>
      </c>
      <c r="B435" s="7" t="inlineStr">
        <is>
          <t>Sprint 4</t>
        </is>
      </c>
      <c r="C435" s="7" t="inlineStr">
        <is>
          <t>Esquema de medicación</t>
        </is>
      </c>
      <c r="D435" s="7" t="inlineStr">
        <is>
          <t>Validar: CreateAsync · WithAmbulatoryPerson · ReturnsPersonNotResident</t>
        </is>
      </c>
      <c r="E435" s="7" t="inlineStr">
        <is>
          <t>Sin TC manual asociado; descripción derivada del nombre del test.</t>
        </is>
      </c>
      <c r="F435" s="7" t="inlineStr">
        <is>
          <t>Servicio con DbContext InMemory.</t>
        </is>
      </c>
      <c r="G435" s="7" t="inlineStr">
        <is>
          <t>SCRUM-59</t>
        </is>
      </c>
      <c r="H435" s="7" t="inlineStr"/>
      <c r="I435" s="7" t="inlineStr">
        <is>
          <t>Vicaria.UnitTests › MedicationSchemeServiceTests › CreateAsync_WithAmbulatoryPerson_ReturnsPersonNotResident</t>
        </is>
      </c>
      <c r="J435" s="7" t="inlineStr">
        <is>
          <t>OK</t>
        </is>
      </c>
      <c r="K435" s="7" t="inlineStr">
        <is>
          <t>2026-10-14</t>
        </is>
      </c>
      <c r="L435" s="7" t="inlineStr">
        <is>
          <t>Suite automatizada</t>
        </is>
      </c>
    </row>
    <row r="436">
      <c r="A436" s="7" t="inlineStr">
        <is>
          <t>TA-435</t>
        </is>
      </c>
      <c r="B436" s="7" t="inlineStr">
        <is>
          <t>Sprint 4</t>
        </is>
      </c>
      <c r="C436" s="7" t="inlineStr">
        <is>
          <t>Esquema de medicación</t>
        </is>
      </c>
      <c r="D436" s="7" t="inlineStr">
        <is>
          <t>Validar: CreateAsync · WithoutValidEvaluation · ReturnsMissingPsychiatricEvaluation</t>
        </is>
      </c>
      <c r="E436" s="7" t="inlineStr">
        <is>
          <t>Sin TC manual asociado; descripción derivada del nombre del test.</t>
        </is>
      </c>
      <c r="F436" s="7" t="inlineStr">
        <is>
          <t>Servicio con DbContext InMemory.</t>
        </is>
      </c>
      <c r="G436" s="7" t="inlineStr">
        <is>
          <t>SCRUM-59</t>
        </is>
      </c>
      <c r="H436" s="7" t="inlineStr"/>
      <c r="I436" s="7" t="inlineStr">
        <is>
          <t>Vicaria.UnitTests › MedicationSchemeServiceTests › CreateAsync_WithoutValidEvaluation_ReturnsMissingPsychiatricEvaluation</t>
        </is>
      </c>
      <c r="J436" s="7" t="inlineStr">
        <is>
          <t>OK</t>
        </is>
      </c>
      <c r="K436" s="7" t="inlineStr">
        <is>
          <t>2026-10-14</t>
        </is>
      </c>
      <c r="L436" s="7" t="inlineStr">
        <is>
          <t>Suite automatizada</t>
        </is>
      </c>
    </row>
    <row r="437">
      <c r="A437" s="7" t="inlineStr">
        <is>
          <t>TA-436</t>
        </is>
      </c>
      <c r="B437" s="7" t="inlineStr">
        <is>
          <t>Sprint 4</t>
        </is>
      </c>
      <c r="C437" s="7" t="inlineStr">
        <is>
          <t>Esquema de medicación</t>
        </is>
      </c>
      <c r="D437" s="7" t="inlineStr">
        <is>
          <t>Validar: CreateAsync · WithUnknownMedication · ReturnsMedicationNotFound</t>
        </is>
      </c>
      <c r="E437" s="7" t="inlineStr">
        <is>
          <t>Sin TC manual asociado; descripción derivada del nombre del test.</t>
        </is>
      </c>
      <c r="F437" s="7" t="inlineStr">
        <is>
          <t>Servicio con DbContext InMemory.</t>
        </is>
      </c>
      <c r="G437" s="7" t="inlineStr">
        <is>
          <t>SCRUM-59</t>
        </is>
      </c>
      <c r="H437" s="7" t="inlineStr"/>
      <c r="I437" s="7" t="inlineStr">
        <is>
          <t>Vicaria.UnitTests › MedicationSchemeServiceTests › CreateAsync_WithUnknownMedication_ReturnsMedicationNotFound</t>
        </is>
      </c>
      <c r="J437" s="7" t="inlineStr">
        <is>
          <t>OK</t>
        </is>
      </c>
      <c r="K437" s="7" t="inlineStr">
        <is>
          <t>2026-10-14</t>
        </is>
      </c>
      <c r="L437" s="7" t="inlineStr">
        <is>
          <t>Suite automatizada</t>
        </is>
      </c>
    </row>
    <row r="438">
      <c r="A438" s="7" t="inlineStr">
        <is>
          <t>TA-437</t>
        </is>
      </c>
      <c r="B438" s="7" t="inlineStr">
        <is>
          <t>Sprint 4</t>
        </is>
      </c>
      <c r="C438" s="7" t="inlineStr">
        <is>
          <t>Esquema de medicación</t>
        </is>
      </c>
      <c r="D438" s="7" t="inlineStr">
        <is>
          <t>Validar: CreateAsync · WithDuplicateActiveScheme · ReturnsDuplicateScheme</t>
        </is>
      </c>
      <c r="E438" s="7" t="inlineStr">
        <is>
          <t>Sin TC manual asociado; descripción derivada del nombre del test.</t>
        </is>
      </c>
      <c r="F438" s="7" t="inlineStr">
        <is>
          <t>Servicio con DbContext InMemory.</t>
        </is>
      </c>
      <c r="G438" s="7" t="inlineStr">
        <is>
          <t>SCRUM-59</t>
        </is>
      </c>
      <c r="H438" s="7" t="inlineStr"/>
      <c r="I438" s="7" t="inlineStr">
        <is>
          <t>Vicaria.UnitTests › MedicationSchemeServiceTests › CreateAsync_WithDuplicateActiveScheme_ReturnsDuplicateScheme</t>
        </is>
      </c>
      <c r="J438" s="7" t="inlineStr">
        <is>
          <t>OK</t>
        </is>
      </c>
      <c r="K438" s="7" t="inlineStr">
        <is>
          <t>2026-10-14</t>
        </is>
      </c>
      <c r="L438" s="7" t="inlineStr">
        <is>
          <t>Suite automatizada</t>
        </is>
      </c>
    </row>
    <row r="439">
      <c r="A439" s="7" t="inlineStr">
        <is>
          <t>TA-438</t>
        </is>
      </c>
      <c r="B439" s="7" t="inlineStr">
        <is>
          <t>Sprint 4</t>
        </is>
      </c>
      <c r="C439" s="7" t="inlineStr">
        <is>
          <t>Esquema de medicación</t>
        </is>
      </c>
      <c r="D439" s="7" t="inlineStr">
        <is>
          <t>Validar: CreateAsync · WithHistoricalScheme · AllowsReload</t>
        </is>
      </c>
      <c r="E439" s="7" t="inlineStr">
        <is>
          <t>Sin TC manual asociado; descripción derivada del nombre del test.</t>
        </is>
      </c>
      <c r="F439" s="7" t="inlineStr">
        <is>
          <t>Servicio con DbContext InMemory.</t>
        </is>
      </c>
      <c r="G439" s="7" t="inlineStr">
        <is>
          <t>SCRUM-59</t>
        </is>
      </c>
      <c r="H439" s="7" t="inlineStr"/>
      <c r="I439" s="7" t="inlineStr">
        <is>
          <t>Vicaria.UnitTests › MedicationSchemeServiceTests › CreateAsync_WithHistoricalScheme_AllowsReload</t>
        </is>
      </c>
      <c r="J439" s="7" t="inlineStr">
        <is>
          <t>OK</t>
        </is>
      </c>
      <c r="K439" s="7" t="inlineStr">
        <is>
          <t>2026-10-14</t>
        </is>
      </c>
      <c r="L439" s="7" t="inlineStr">
        <is>
          <t>Suite automatizada</t>
        </is>
      </c>
    </row>
    <row r="440">
      <c r="A440" s="7" t="inlineStr">
        <is>
          <t>TA-439</t>
        </is>
      </c>
      <c r="B440" s="7" t="inlineStr">
        <is>
          <t>Sprint 4</t>
        </is>
      </c>
      <c r="C440" s="7" t="inlineStr">
        <is>
          <t>Esquema de medicación</t>
        </is>
      </c>
      <c r="D440" s="7" t="inlineStr">
        <is>
          <t>Validar: Validator · AcceptsValidDto</t>
        </is>
      </c>
      <c r="E440" s="7" t="inlineStr">
        <is>
          <t>Sin TC manual asociado; descripción derivada del nombre del test.</t>
        </is>
      </c>
      <c r="F440" s="7" t="inlineStr">
        <is>
          <t>Servicio con DbContext InMemory.</t>
        </is>
      </c>
      <c r="G440" s="7" t="inlineStr">
        <is>
          <t>SCRUM-59</t>
        </is>
      </c>
      <c r="H440" s="7" t="inlineStr"/>
      <c r="I440" s="7" t="inlineStr">
        <is>
          <t>Vicaria.UnitTests › MedicationSchemeServiceTests › Validator_AcceptsValidDto</t>
        </is>
      </c>
      <c r="J440" s="7" t="inlineStr">
        <is>
          <t>OK</t>
        </is>
      </c>
      <c r="K440" s="7" t="inlineStr">
        <is>
          <t>2026-10-14</t>
        </is>
      </c>
      <c r="L440" s="7" t="inlineStr">
        <is>
          <t>Suite automatizada</t>
        </is>
      </c>
    </row>
    <row r="441">
      <c r="A441" s="7" t="inlineStr">
        <is>
          <t>TA-440</t>
        </is>
      </c>
      <c r="B441" s="7" t="inlineStr">
        <is>
          <t>Sprint 4</t>
        </is>
      </c>
      <c r="C441" s="7" t="inlineStr">
        <is>
          <t>Esquema de medicación</t>
        </is>
      </c>
      <c r="D441" s="7" t="inlineStr">
        <is>
          <t>Validar: Validator · RejectsInvalidDto</t>
        </is>
      </c>
      <c r="E441" s="7" t="inlineStr">
        <is>
          <t>Sin TC manual asociado; descripción derivada del nombre del test.</t>
        </is>
      </c>
      <c r="F441" s="7" t="inlineStr">
        <is>
          <t>Servicio con DbContext InMemory.</t>
        </is>
      </c>
      <c r="G441" s="7" t="inlineStr">
        <is>
          <t>SCRUM-59</t>
        </is>
      </c>
      <c r="H441" s="7" t="inlineStr"/>
      <c r="I441" s="7" t="inlineStr">
        <is>
          <t>Vicaria.UnitTests › MedicationSchemeServiceTests › Validator_RejectsInvalidDto</t>
        </is>
      </c>
      <c r="J441" s="7" t="inlineStr">
        <is>
          <t>OK</t>
        </is>
      </c>
      <c r="K441" s="7" t="inlineStr">
        <is>
          <t>2026-10-14</t>
        </is>
      </c>
      <c r="L441" s="7" t="inlineStr">
        <is>
          <t>Suite automatizada</t>
        </is>
      </c>
    </row>
    <row r="442">
      <c r="A442" s="7" t="inlineStr">
        <is>
          <t>TA-441</t>
        </is>
      </c>
      <c r="B442" s="7" t="inlineStr">
        <is>
          <t>Sprint 4</t>
        </is>
      </c>
      <c r="C442" s="7" t="inlineStr">
        <is>
          <t>Esquema de medicación</t>
        </is>
      </c>
      <c r="D442" s="7" t="inlineStr">
        <is>
          <t>Validar: Create · ResidenteConEvaluacionVigente · Devuelve201ConEsquemaCompleto</t>
        </is>
      </c>
      <c r="E442" s="7" t="inlineStr">
        <is>
          <t>Sin TC manual asociado; descripción derivada del nombre del test.</t>
        </is>
      </c>
      <c r="F442" s="7" t="inlineStr">
        <is>
          <t>API levantada con WebApplicationFactory.</t>
        </is>
      </c>
      <c r="G442" s="7" t="inlineStr">
        <is>
          <t>SCRUM-59</t>
        </is>
      </c>
      <c r="H442" s="7" t="inlineStr"/>
      <c r="I442" s="7" t="inlineStr">
        <is>
          <t>Vicaria.IntegrationTests › MedicationSchemesEndpointTests › Create_ResidenteConEvaluacionVigente_Devuelve201ConEsquemaCompleto</t>
        </is>
      </c>
      <c r="J442" s="7" t="inlineStr">
        <is>
          <t>OK</t>
        </is>
      </c>
      <c r="K442" s="7" t="inlineStr">
        <is>
          <t>2026-10-14</t>
        </is>
      </c>
      <c r="L442" s="7" t="inlineStr">
        <is>
          <t>Suite automatizada</t>
        </is>
      </c>
    </row>
    <row r="443">
      <c r="A443" s="7" t="inlineStr">
        <is>
          <t>TA-442</t>
        </is>
      </c>
      <c r="B443" s="7" t="inlineStr">
        <is>
          <t>Sprint 4</t>
        </is>
      </c>
      <c r="C443" s="7" t="inlineStr">
        <is>
          <t>Esquema de medicación</t>
        </is>
      </c>
      <c r="D443" s="7" t="inlineStr">
        <is>
          <t>Validar: Create · SinStock · MarcaPendienteStock</t>
        </is>
      </c>
      <c r="E443" s="7" t="inlineStr">
        <is>
          <t>Sin TC manual asociado; descripción derivada del nombre del test.</t>
        </is>
      </c>
      <c r="F443" s="7" t="inlineStr">
        <is>
          <t>API levantada con WebApplicationFactory.</t>
        </is>
      </c>
      <c r="G443" s="7" t="inlineStr">
        <is>
          <t>SCRUM-59</t>
        </is>
      </c>
      <c r="H443" s="7" t="inlineStr"/>
      <c r="I443" s="7" t="inlineStr">
        <is>
          <t>Vicaria.IntegrationTests › MedicationSchemesEndpointTests › Create_SinStock_MarcaPendienteStock</t>
        </is>
      </c>
      <c r="J443" s="7" t="inlineStr">
        <is>
          <t>OK</t>
        </is>
      </c>
      <c r="K443" s="7" t="inlineStr">
        <is>
          <t>2026-10-14</t>
        </is>
      </c>
      <c r="L443" s="7" t="inlineStr">
        <is>
          <t>Suite automatizada</t>
        </is>
      </c>
    </row>
    <row r="444">
      <c r="A444" s="7" t="inlineStr">
        <is>
          <t>TA-443</t>
        </is>
      </c>
      <c r="B444" s="7" t="inlineStr">
        <is>
          <t>Sprint 4</t>
        </is>
      </c>
      <c r="C444" s="7" t="inlineStr">
        <is>
          <t>Esquema de medicación</t>
        </is>
      </c>
      <c r="D444" s="7" t="inlineStr">
        <is>
          <t>Validar: Create · SinEvaluacionVigente · Devuelve400</t>
        </is>
      </c>
      <c r="E444" s="7" t="inlineStr">
        <is>
          <t>Sin TC manual asociado; descripción derivada del nombre del test.</t>
        </is>
      </c>
      <c r="F444" s="7" t="inlineStr">
        <is>
          <t>API levantada con WebApplicationFactory.</t>
        </is>
      </c>
      <c r="G444" s="7" t="inlineStr">
        <is>
          <t>SCRUM-59</t>
        </is>
      </c>
      <c r="H444" s="7" t="inlineStr"/>
      <c r="I444" s="7" t="inlineStr">
        <is>
          <t>Vicaria.IntegrationTests › MedicationSchemesEndpointTests › Create_SinEvaluacionVigente_Devuelve400</t>
        </is>
      </c>
      <c r="J444" s="7" t="inlineStr">
        <is>
          <t>OK</t>
        </is>
      </c>
      <c r="K444" s="7" t="inlineStr">
        <is>
          <t>2026-10-14</t>
        </is>
      </c>
      <c r="L444" s="7" t="inlineStr">
        <is>
          <t>Suite automatizada</t>
        </is>
      </c>
    </row>
    <row r="445">
      <c r="A445" s="7" t="inlineStr">
        <is>
          <t>TA-444</t>
        </is>
      </c>
      <c r="B445" s="7" t="inlineStr">
        <is>
          <t>Sprint 4</t>
        </is>
      </c>
      <c r="C445" s="7" t="inlineStr">
        <is>
          <t>Esquema de medicación</t>
        </is>
      </c>
      <c r="D445" s="7" t="inlineStr">
        <is>
          <t>Validar: Create · MedicamentoFueraDeCatalogo · Devuelve404</t>
        </is>
      </c>
      <c r="E445" s="7" t="inlineStr">
        <is>
          <t>Sin TC manual asociado; descripción derivada del nombre del test.</t>
        </is>
      </c>
      <c r="F445" s="7" t="inlineStr">
        <is>
          <t>API levantada con WebApplicationFactory.</t>
        </is>
      </c>
      <c r="G445" s="7" t="inlineStr">
        <is>
          <t>SCRUM-59</t>
        </is>
      </c>
      <c r="H445" s="7" t="inlineStr"/>
      <c r="I445" s="7" t="inlineStr">
        <is>
          <t>Vicaria.IntegrationTests › MedicationSchemesEndpointTests › Create_MedicamentoFueraDeCatalogo_Devuelve404</t>
        </is>
      </c>
      <c r="J445" s="7" t="inlineStr">
        <is>
          <t>OK</t>
        </is>
      </c>
      <c r="K445" s="7" t="inlineStr">
        <is>
          <t>2026-10-14</t>
        </is>
      </c>
      <c r="L445" s="7" t="inlineStr">
        <is>
          <t>Suite automatizada</t>
        </is>
      </c>
    </row>
    <row r="446">
      <c r="A446" s="7" t="inlineStr">
        <is>
          <t>TA-445</t>
        </is>
      </c>
      <c r="B446" s="7" t="inlineStr">
        <is>
          <t>Sprint 4</t>
        </is>
      </c>
      <c r="C446" s="7" t="inlineStr">
        <is>
          <t>Esquema de medicación</t>
        </is>
      </c>
      <c r="D446" s="7" t="inlineStr">
        <is>
          <t>Validar: Create · EsquemaDuplicadoVigente · Devuelve409</t>
        </is>
      </c>
      <c r="E446" s="7" t="inlineStr">
        <is>
          <t>Sin TC manual asociado; descripción derivada del nombre del test.</t>
        </is>
      </c>
      <c r="F446" s="7" t="inlineStr">
        <is>
          <t>API levantada con WebApplicationFactory.</t>
        </is>
      </c>
      <c r="G446" s="7" t="inlineStr">
        <is>
          <t>SCRUM-59</t>
        </is>
      </c>
      <c r="H446" s="7" t="inlineStr"/>
      <c r="I446" s="7" t="inlineStr">
        <is>
          <t>Vicaria.IntegrationTests › MedicationSchemesEndpointTests › Create_EsquemaDuplicadoVigente_Devuelve409</t>
        </is>
      </c>
      <c r="J446" s="7" t="inlineStr">
        <is>
          <t>OK</t>
        </is>
      </c>
      <c r="K446" s="7" t="inlineStr">
        <is>
          <t>2026-10-14</t>
        </is>
      </c>
      <c r="L446" s="7" t="inlineStr">
        <is>
          <t>Suite automatizada</t>
        </is>
      </c>
    </row>
    <row r="447">
      <c r="A447" s="7" t="inlineStr">
        <is>
          <t>TA-446</t>
        </is>
      </c>
      <c r="B447" s="7" t="inlineStr">
        <is>
          <t>Sprint 4</t>
        </is>
      </c>
      <c r="C447" s="7" t="inlineStr">
        <is>
          <t>Esquema de medicación</t>
        </is>
      </c>
      <c r="D447" s="7" t="inlineStr">
        <is>
          <t>Validar: Create · ConRolEscucha · Devuelve403</t>
        </is>
      </c>
      <c r="E447" s="7" t="inlineStr">
        <is>
          <t>Sin TC manual asociado; descripción derivada del nombre del test.</t>
        </is>
      </c>
      <c r="F447" s="7" t="inlineStr">
        <is>
          <t>API levantada con WebApplicationFactory.</t>
        </is>
      </c>
      <c r="G447" s="7" t="inlineStr">
        <is>
          <t>SCRUM-59</t>
        </is>
      </c>
      <c r="H447" s="7" t="inlineStr"/>
      <c r="I447" s="7" t="inlineStr">
        <is>
          <t>Vicaria.IntegrationTests › MedicationSchemesEndpointTests › Create_ConRolEscucha_Devuelve403</t>
        </is>
      </c>
      <c r="J447" s="7" t="inlineStr">
        <is>
          <t>OK</t>
        </is>
      </c>
      <c r="K447" s="7" t="inlineStr">
        <is>
          <t>2026-10-14</t>
        </is>
      </c>
      <c r="L447" s="7" t="inlineStr">
        <is>
          <t>Suite automatizada</t>
        </is>
      </c>
    </row>
    <row r="448">
      <c r="A448" s="7" t="inlineStr">
        <is>
          <t>TA-447</t>
        </is>
      </c>
      <c r="B448" s="7" t="inlineStr">
        <is>
          <t>Sprint 4</t>
        </is>
      </c>
      <c r="C448" s="7" t="inlineStr">
        <is>
          <t>Esquema de medicación</t>
        </is>
      </c>
      <c r="D448" s="7" t="inlineStr">
        <is>
          <t>Validar: Create · DirectoraConAmbulatorio · Devuelve404</t>
        </is>
      </c>
      <c r="E448" s="7" t="inlineStr">
        <is>
          <t>Sin TC manual asociado; descripción derivada del nombre del test.</t>
        </is>
      </c>
      <c r="F448" s="7" t="inlineStr">
        <is>
          <t>API levantada con WebApplicationFactory.</t>
        </is>
      </c>
      <c r="G448" s="7" t="inlineStr">
        <is>
          <t>SCRUM-59</t>
        </is>
      </c>
      <c r="H448" s="7" t="inlineStr"/>
      <c r="I448" s="7" t="inlineStr">
        <is>
          <t>Vicaria.IntegrationTests › MedicationSchemesEndpointTests › Create_DirectoraConAmbulatorio_Devuelve404</t>
        </is>
      </c>
      <c r="J448" s="7" t="inlineStr">
        <is>
          <t>OK</t>
        </is>
      </c>
      <c r="K448" s="7" t="inlineStr">
        <is>
          <t>2026-10-14</t>
        </is>
      </c>
      <c r="L448" s="7" t="inlineStr">
        <is>
          <t>Suite automatizada</t>
        </is>
      </c>
    </row>
    <row r="449">
      <c r="A449" s="7" t="inlineStr">
        <is>
          <t>TA-448</t>
        </is>
      </c>
      <c r="B449" s="7" t="inlineStr">
        <is>
          <t>Sprint 4</t>
        </is>
      </c>
      <c r="C449" s="7" t="inlineStr">
        <is>
          <t>Esquema de medicación</t>
        </is>
      </c>
      <c r="D449" s="7" t="inlineStr">
        <is>
          <t>Validar: Create · HoraInvalida · Devuelve400</t>
        </is>
      </c>
      <c r="E449" s="7" t="inlineStr">
        <is>
          <t>Sin TC manual asociado; descripción derivada del nombre del test.</t>
        </is>
      </c>
      <c r="F449" s="7" t="inlineStr">
        <is>
          <t>API levantada con WebApplicationFactory.</t>
        </is>
      </c>
      <c r="G449" s="7" t="inlineStr">
        <is>
          <t>SCRUM-59</t>
        </is>
      </c>
      <c r="H449" s="7" t="inlineStr"/>
      <c r="I449" s="7" t="inlineStr">
        <is>
          <t>Vicaria.IntegrationTests › MedicationSchemesEndpointTests › Create_HoraInvalida_Devuelve400</t>
        </is>
      </c>
      <c r="J449" s="7" t="inlineStr">
        <is>
          <t>OK</t>
        </is>
      </c>
      <c r="K449" s="7" t="inlineStr">
        <is>
          <t>2026-10-14</t>
        </is>
      </c>
      <c r="L449" s="7" t="inlineStr">
        <is>
          <t>Suite automatizada</t>
        </is>
      </c>
    </row>
  </sheetData>
  <autoFilter ref="A1:L449"/>
  <dataValidations count="1">
    <dataValidation sqref="J2:J449" showDropDown="0" showInputMessage="0" showErrorMessage="0" allowBlank="1" type="list">
      <formula1>"Pendiente,OK,Falla,Bloqueado"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70" customWidth="1" min="3" max="3"/>
    <col width="30" customWidth="1" min="4" max="4"/>
    <col width="18" customWidth="1" min="5" max="5"/>
    <col width="60" customWidth="1" min="6" max="6"/>
  </cols>
  <sheetData>
    <row r="1">
      <c r="A1" s="6" t="inlineStr">
        <is>
          <t>#</t>
        </is>
      </c>
      <c r="B1" s="6" t="inlineStr">
        <is>
          <t>Tipo</t>
        </is>
      </c>
      <c r="C1" s="6" t="inlineStr">
        <is>
          <t>Descripción</t>
        </is>
      </c>
      <c r="D1" s="6" t="inlineStr">
        <is>
          <t>Origen / Jira</t>
        </is>
      </c>
      <c r="E1" s="6" t="inlineStr">
        <is>
          <t>Estado</t>
        </is>
      </c>
      <c r="F1" s="6" t="inlineStr">
        <is>
          <t>Detalle</t>
        </is>
      </c>
    </row>
    <row r="2">
      <c r="A2" s="7" t="n">
        <v>1</v>
      </c>
      <c r="B2" s="7" t="inlineStr">
        <is>
          <t>Defecto</t>
        </is>
      </c>
      <c r="C2" s="7" t="inlineStr">
        <is>
          <t>Validadores de edición/estado no registrados en la inyección de dependencias: los endpoints PUT de eventos generales, PUT de colaboradores y PATCH de estado de visitas respondían 500.</t>
        </is>
      </c>
      <c r="D2" s="7" t="inlineStr">
        <is>
          <t>SCRUM-190 / 200 / 211 (dev-backend)</t>
        </is>
      </c>
      <c r="E2" s="7" t="inlineStr">
        <is>
          <t>Corregido en dev</t>
        </is>
      </c>
      <c r="F2" s="7" t="inlineStr">
        <is>
          <t>Se registraron en Program.cs y se agregaron tests HTTP. Falta llevar el arreglo a dev-backend.</t>
        </is>
      </c>
    </row>
    <row r="3">
      <c r="A3" s="7" t="n">
        <v>2</v>
      </c>
      <c r="B3" s="7" t="inlineStr">
        <is>
          <t>Defecto</t>
        </is>
      </c>
      <c r="C3" s="7" t="inlineStr">
        <is>
          <t>El listado de colaboradores no devolvía el estado activo/inactivo.</t>
        </is>
      </c>
      <c r="D3" s="7" t="inlineStr">
        <is>
          <t>SCRUM-200</t>
        </is>
      </c>
      <c r="E3" s="7" t="inlineStr">
        <is>
          <t>Corregido en dev</t>
        </is>
      </c>
      <c r="F3" s="7" t="inlineStr">
        <is>
          <t>CollaboratorListItemDto ahora incluye isActive.</t>
        </is>
      </c>
    </row>
    <row r="4">
      <c r="A4" s="7" t="n">
        <v>3</v>
      </c>
      <c r="B4" s="7" t="inlineStr">
        <is>
          <t>Brecha</t>
        </is>
      </c>
      <c r="C4" s="7" t="inlineStr">
        <is>
          <t>No existían edición ni borrado de eventos personales en el backend.</t>
        </is>
      </c>
      <c r="D4" s="7" t="inlineStr">
        <is>
          <t>SCRUM-17 / 197</t>
        </is>
      </c>
      <c r="E4" s="7" t="inlineStr">
        <is>
          <t>Corregido en dev</t>
        </is>
      </c>
      <c r="F4" s="7" t="inlineStr">
        <is>
          <t>PUT y DELETE api/personal-calendar-events/{id} con auditoría y tests.</t>
        </is>
      </c>
    </row>
    <row r="5">
      <c r="A5" s="7" t="n">
        <v>4</v>
      </c>
      <c r="B5" s="7" t="inlineStr">
        <is>
          <t>Test desactualizado</t>
        </is>
      </c>
      <c r="C5" s="7" t="inlineStr">
        <is>
          <t>Get_WithEachAuthorizedRole_Returns200 incluía al rol Escucha, excluido por SCRUM-212.</t>
        </is>
      </c>
      <c r="D5" s="7" t="inlineStr">
        <is>
          <t>SCRUM-212</t>
        </is>
      </c>
      <c r="E5" s="7" t="inlineStr">
        <is>
          <t>Corregido</t>
        </is>
      </c>
      <c r="F5" s="7" t="inlineStr">
        <is>
          <t>Se quitó Escucha de los roles autorizados del test.</t>
        </is>
      </c>
    </row>
    <row r="6">
      <c r="A6" s="7" t="n">
        <v>5</v>
      </c>
      <c r="B6" s="7" t="inlineStr">
        <is>
          <t>Defecto preexistente</t>
        </is>
      </c>
      <c r="C6" s="7" t="inlineStr">
        <is>
          <t>Los ítems Inicio, Asistencia y Medicación ya funcionan; solo 'Informes' apunta a /inicio, una ruta sin pantalla (página vacía). Verificado en navegador con los 4 roles el 2026-10-16.</t>
        </is>
      </c>
      <c r="D6" s="7" t="inlineStr">
        <is>
          <t>Frontend (Sprint 1-2)</t>
        </is>
      </c>
      <c r="E6" s="7" t="inlineStr">
        <is>
          <t>Abierta</t>
        </is>
      </c>
      <c r="F6" s="7" t="inlineStr">
        <is>
          <t>Detectado en la prueba de humo por rol: 4 de 15 pantallas; las demás cargan sin errores de API ni de consola.</t>
        </is>
      </c>
    </row>
    <row r="7">
      <c r="A7" s="7" t="n">
        <v>6</v>
      </c>
      <c r="B7" s="7" t="inlineStr">
        <is>
          <t>Defecto</t>
        </is>
      </c>
      <c r="C7" s="7" t="inlineStr">
        <is>
          <t>Las series recurrentes con fecha de inicio anterior al rango consultado no se expandían: un evento semanal solo aparecía en su semana de inicio.</t>
        </is>
      </c>
      <c r="D7" s="7" t="inlineStr">
        <is>
          <t>SCRUM-189 / 194</t>
        </is>
      </c>
      <c r="E7" s="7" t="inlineStr">
        <is>
          <t>Corregido en dev</t>
        </is>
      </c>
      <c r="F7" s="7" t="inlineStr">
        <is>
          <t>La consulta incluye las series iniciadas antes del rango; hay tests unitarios y de integración.</t>
        </is>
      </c>
    </row>
    <row r="8">
      <c r="A8" s="7" t="n">
        <v>7</v>
      </c>
      <c r="B8" s="7" t="inlineStr">
        <is>
          <t>Decisión resuelta</t>
        </is>
      </c>
      <c r="C8" s="7" t="inlineStr">
        <is>
          <t>Solapamiento de visitas: es una advertencia. El backend responde 409 con el aviso y acepta allowOverlap para guardar igual.</t>
        </is>
      </c>
      <c r="D8" s="7" t="inlineStr">
        <is>
          <t>SCRUM-211</t>
        </is>
      </c>
      <c r="E8" s="7" t="inlineStr">
        <is>
          <t>Resuelta 2026-10-09</t>
        </is>
      </c>
      <c r="F8" s="7" t="inlineStr">
        <is>
          <t>El frontend reenvía con allowOverlap cuando la persona vuelve a tocar Guardar.</t>
        </is>
      </c>
    </row>
    <row r="9">
      <c r="A9" s="7" t="n">
        <v>8</v>
      </c>
      <c r="B9" s="7" t="inlineStr">
        <is>
          <t>Decisión resuelta</t>
        </is>
      </c>
      <c r="C9" s="7" t="inlineStr">
        <is>
          <t>Motivo de cancelación de visita: es opcional.</t>
        </is>
      </c>
      <c r="D9" s="7" t="inlineStr">
        <is>
          <t>SCRUM-74</t>
        </is>
      </c>
      <c r="E9" s="7" t="inlineStr">
        <is>
          <t>Resuelta 2026-10-09</t>
        </is>
      </c>
      <c r="F9" s="7" t="inlineStr">
        <is>
          <t>El PUT ya no lo exige y el frontend no manda un texto por defecto.</t>
        </is>
      </c>
    </row>
    <row r="10">
      <c r="A10" s="7" t="n">
        <v>9</v>
      </c>
      <c r="B10" s="7" t="inlineStr">
        <is>
          <t>Mejora</t>
        </is>
      </c>
      <c r="C10" s="7" t="inlineStr">
        <is>
          <t>Recurrencia mensual de eventos (mismo día de cada mes; en meses cortos, el último día).</t>
        </is>
      </c>
      <c r="D10" s="7" t="inlineStr">
        <is>
          <t>SCRUM-16 / 189</t>
        </is>
      </c>
      <c r="E10" s="7" t="inlineStr">
        <is>
          <t>Implementada</t>
        </is>
      </c>
      <c r="F10" s="7" t="inlineStr">
        <is>
          <t>Columna repeats_monthly y migración AddCalendarEventMonthlyRecurrence.</t>
        </is>
      </c>
    </row>
    <row r="11">
      <c r="A11" s="7" t="n">
        <v>10</v>
      </c>
      <c r="B11" s="7" t="inlineStr">
        <is>
          <t>Limitación</t>
        </is>
      </c>
      <c r="C11" s="7" t="inlineStr">
        <is>
          <t>Al editar una ocurrencia de una serie, la fecha del formulario es la de esa ocurrencia y la serie pasa a empezar ese día.</t>
        </is>
      </c>
      <c r="D11" s="7" t="inlineStr">
        <is>
          <t>SCRUM-190</t>
        </is>
      </c>
      <c r="E11" s="7" t="inlineStr">
        <is>
          <t>Abierta</t>
        </is>
      </c>
      <c r="F11" s="7" t="inlineStr">
        <is>
          <t>Una mejora posible es exponer la fecha de inicio de la serie en la ocurrencia.</t>
        </is>
      </c>
    </row>
    <row r="12">
      <c r="A12" s="7" t="n">
        <v>11</v>
      </c>
      <c r="B12" s="7" t="inlineStr">
        <is>
          <t>Defecto</t>
        </is>
      </c>
      <c r="C12" s="7" t="inlineStr">
        <is>
          <t>La suite de integración colgaba el equipo: cada clase de test levanta su propio SQL Server en Docker y xUnit las corría en paralelo (hasta 16 contenedores) contra una VM de WSL con tope de 4 GB; Docker se caía y los tests quedaban sin resultado.</t>
        </is>
      </c>
      <c r="D12" s="7" t="inlineStr">
        <is>
          <t>Backend (tests de integración)</t>
        </is>
      </c>
      <c r="E12" s="7" t="inlineStr">
        <is>
          <t>Corregido en dev</t>
        </is>
      </c>
      <c r="F12" s="7" t="inlineStr">
        <is>
          <t>AssemblyInfo.cs desactiva el paralelismo y el factory limita cada SQL Server a 1 GB (MSSQL_MEMORY_LIMIT_MB). Resultado: 240 de 240 OK en 10 min 38 s.</t>
        </is>
      </c>
    </row>
    <row r="13">
      <c r="A13" s="7" t="n">
        <v>12</v>
      </c>
      <c r="B13" s="7" t="inlineStr">
        <is>
          <t>Defecto</t>
        </is>
      </c>
      <c r="C13" s="7" t="inlineStr">
        <is>
          <t>Los specs de asistencia y medicación de dev-frontend-belen usaban sintaxis de Jasmine (done, toBeTrue, toBeFalse) y no compilaban con Vitest: 55 errores y ningún test corría.</t>
        </is>
      </c>
      <c r="D13" s="7" t="inlineStr">
        <is>
          <t>SCRUM-218 a 250 (frontend)</t>
        </is>
      </c>
      <c r="E13" s="7" t="inlineStr">
        <is>
          <t>Corregido en dev</t>
        </is>
      </c>
      <c r="F13" s="7" t="inlineStr">
        <is>
          <t>Se convirtieron a promesas y toBe(true/false): 120 de 120 pruebas OK.</t>
        </is>
      </c>
    </row>
    <row r="14">
      <c r="A14" s="7" t="n">
        <v>13</v>
      </c>
      <c r="B14" s="7" t="inlineStr">
        <is>
          <t>Brecha</t>
        </is>
      </c>
      <c r="C14" s="7" t="inlineStr">
        <is>
          <t>Las pantallas de asistencia y medicación del frontend usan servicios simulados (of(...).pipe(delay)) y no llaman a la API.</t>
        </is>
      </c>
      <c r="D14" s="7" t="inlineStr">
        <is>
          <t>SCRUM-218 a 250 (frontend)</t>
        </is>
      </c>
      <c r="E14" s="7" t="inlineStr">
        <is>
          <t>Abierta</t>
        </is>
      </c>
      <c r="F14" s="7" t="inlineStr">
        <is>
          <t>Integrarlas con el backend a medida que se complete; hasta entonces los criterios de negocio no están verificados.</t>
        </is>
      </c>
    </row>
    <row r="15">
      <c r="A15" s="7" t="n">
        <v>14</v>
      </c>
      <c r="B15" s="7" t="inlineStr">
        <is>
          <t>Pendiente</t>
        </is>
      </c>
      <c r="C15" s="7" t="inlineStr">
        <is>
          <t>dev-backend trae un global.json que exige SDK 9.0.x y falla en equipos con otros SDK. dev no lo tiene.</t>
        </is>
      </c>
      <c r="D15" s="7" t="inlineStr">
        <is>
          <t>dev-backend</t>
        </is>
      </c>
      <c r="E15" s="7" t="inlineStr">
        <is>
          <t>Abierta</t>
        </is>
      </c>
      <c r="F15" s="7" t="inlineStr">
        <is>
          <t>Avisar a Santiago antes de sincronizar ramas. Esta PC ya tiene el SDK 9.0.319.</t>
        </is>
      </c>
    </row>
    <row r="16">
      <c r="A16" s="7" t="n">
        <v>15</v>
      </c>
      <c r="B16" s="7" t="inlineStr">
        <is>
          <t>Pendiente</t>
        </is>
      </c>
      <c r="C16" s="7" t="inlineStr">
        <is>
          <t>Las ramas dev-backend y dev-frontend no tienen los cambios de dev.</t>
        </is>
      </c>
      <c r="D16" s="7" t="inlineStr">
        <is>
          <t>Git</t>
        </is>
      </c>
      <c r="E16" s="7" t="inlineStr">
        <is>
          <t>Abierta</t>
        </is>
      </c>
      <c r="F16" s="7" t="inlineStr">
        <is>
          <t>Sincronizar por PR antes de que sigan Emir y Belén.</t>
        </is>
      </c>
    </row>
    <row r="17">
      <c r="A17" s="7" t="n">
        <v>16</v>
      </c>
      <c r="B17" s="7" t="inlineStr">
        <is>
          <t>Pendiente</t>
        </is>
      </c>
      <c r="C17" s="7" t="inlineStr">
        <is>
          <t>Jira: SCRUM-198 y SCRUM-215 (QA) siguen 'En curso'.</t>
        </is>
      </c>
      <c r="D17" s="7" t="inlineStr">
        <is>
          <t>Jira</t>
        </is>
      </c>
      <c r="E17" s="7" t="inlineStr">
        <is>
          <t>Abierta</t>
        </is>
      </c>
      <c r="F17" s="7" t="inlineStr">
        <is>
          <t>Cerrar con el resultado de esta ejecución.</t>
        </is>
      </c>
    </row>
    <row r="18">
      <c r="A18" s="7" t="n">
        <v>17</v>
      </c>
      <c r="B18" s="7" t="inlineStr">
        <is>
          <t>Pregunta abierta</t>
        </is>
      </c>
      <c r="C18" s="7" t="inlineStr">
        <is>
          <t>El primer criterio dice "Hogar de día, , Casona (diaria)": falta una actividad en el texto. A confirmar cuáles son.</t>
        </is>
      </c>
      <c r="D18" s="7" t="inlineStr">
        <is>
          <t>SCRUM-54</t>
        </is>
      </c>
      <c r="E18" s="7" t="inlineStr">
        <is>
          <t>Abierta</t>
        </is>
      </c>
      <c r="F18" s="7" t="inlineStr">
        <is>
          <t>Consultar al equipo antes de implementar o probar.</t>
        </is>
      </c>
    </row>
    <row r="19">
      <c r="A19" s="7" t="n">
        <v>18</v>
      </c>
      <c r="B19" s="7" t="inlineStr">
        <is>
          <t>Pregunta abierta</t>
        </is>
      </c>
      <c r="C19" s="7" t="inlineStr">
        <is>
          <t>No se define cuándo se "cierra" un día (¿automático a medianoche, manual por un Referente?). Necesario para el último criterio.</t>
        </is>
      </c>
      <c r="D19" s="7" t="inlineStr">
        <is>
          <t>SCRUM-54</t>
        </is>
      </c>
      <c r="E19" s="7" t="inlineStr">
        <is>
          <t>Abierta</t>
        </is>
      </c>
      <c r="F19" s="7" t="inlineStr">
        <is>
          <t>Consultar al equipo antes de implementar o probar.</t>
        </is>
      </c>
    </row>
    <row r="20">
      <c r="A20" s="7" t="n">
        <v>19</v>
      </c>
      <c r="B20" s="7" t="inlineStr">
        <is>
          <t>Pregunta abierta</t>
        </is>
      </c>
      <c r="C20" s="7" t="inlineStr">
        <is>
          <t>Pide actividades configurables por los Referentes pero no hay una historia para esa pantalla de configuración.</t>
        </is>
      </c>
      <c r="D20" s="7" t="inlineStr">
        <is>
          <t>SCRUM-57</t>
        </is>
      </c>
      <c r="E20" s="7" t="inlineStr">
        <is>
          <t>Abierta</t>
        </is>
      </c>
      <c r="F20" s="7" t="inlineStr">
        <is>
          <t>Consultar al equipo antes de implementar o probar.</t>
        </is>
      </c>
    </row>
    <row r="21">
      <c r="A21" s="7" t="n">
        <v>20</v>
      </c>
      <c r="B21" s="7" t="inlineStr">
        <is>
          <t>Pregunta abierta</t>
        </is>
      </c>
      <c r="C21" s="7" t="inlineStr">
        <is>
          <t>Los permisos del Coordinador de Casona no son consistentes entre historias (SCRUM-59 lo incluye, SCRUM-60, 61 y 71 no lo nombran).</t>
        </is>
      </c>
      <c r="D21" s="7" t="inlineStr">
        <is>
          <t>SCRUM-59 / 60 / 61 / 71</t>
        </is>
      </c>
      <c r="E21" s="7" t="inlineStr">
        <is>
          <t>Abierta</t>
        </is>
      </c>
      <c r="F21" s="7" t="inlineStr">
        <is>
          <t>Consultar al equipo antes de implementar o probar.</t>
        </is>
      </c>
    </row>
    <row r="22">
      <c r="A22" s="7" t="n">
        <v>21</v>
      </c>
      <c r="B22" s="7" t="inlineStr">
        <is>
          <t>Pregunta abierta</t>
        </is>
      </c>
      <c r="C22" s="7" t="inlineStr">
        <is>
          <t>SCRUM-59 habla de "stock en farmacia" y SCRUM-71 de "stock del Centro Barrial": confirmar que son el mismo inventario.</t>
        </is>
      </c>
      <c r="D22" s="7" t="inlineStr">
        <is>
          <t>SCRUM-59 / 71</t>
        </is>
      </c>
      <c r="E22" s="7" t="inlineStr">
        <is>
          <t>Abierta</t>
        </is>
      </c>
      <c r="F22" s="7" t="inlineStr">
        <is>
          <t>Consultar al equipo antes de implementar o probar.</t>
        </is>
      </c>
    </row>
    <row r="23">
      <c r="A23" s="7" t="n">
        <v>22</v>
      </c>
      <c r="B23" s="7" t="inlineStr">
        <is>
          <t>Defecto</t>
        </is>
      </c>
      <c r="C23" s="7" t="inlineStr">
        <is>
          <t>Cuenta bloqueada: el login navegaba a /auth/blocked, una ruta que no existe, y dejaba la pantalla en blanco sin ningún mensaje.</t>
        </is>
      </c>
      <c r="D23" s="7" t="inlineStr">
        <is>
          <t>SCRUM-84 / 94 (frontend)</t>
        </is>
      </c>
      <c r="E23" s="7" t="inlineStr">
        <is>
          <t>Corregido en dev</t>
        </is>
      </c>
      <c r="F23" s="7" t="inlineStr">
        <is>
          <t>login.component.ts ahora muestra el aviso de bloqueo en el propio formulario. Re-ejecutado OK en navegador.</t>
        </is>
      </c>
    </row>
    <row r="24">
      <c r="A24" s="7" t="n">
        <v>23</v>
      </c>
      <c r="B24" s="7" t="inlineStr">
        <is>
          <t>Defecto</t>
        </is>
      </c>
      <c r="C24" s="7" t="inlineStr">
        <is>
          <t>El quinto intento fallido de login bloqueaba la cuenta pero respondía 401 'Credenciales inválidas': no informaba el bloqueo hasta el sexto intento.</t>
        </is>
      </c>
      <c r="D24" s="7" t="inlineStr">
        <is>
          <t>SCRUM-84 (AuthService)</t>
        </is>
      </c>
      <c r="E24" s="7" t="inlineStr">
        <is>
          <t>Corregido en dev</t>
        </is>
      </c>
      <c r="F24" s="7" t="inlineStr">
        <is>
          <t>AuthService.LoginAsync devuelve AccountLocked en el intento que dispara el bloqueo; test unitario nuevo.</t>
        </is>
      </c>
    </row>
    <row r="25">
      <c r="A25" s="7" t="n">
        <v>24</v>
      </c>
      <c r="B25" s="7" t="inlineStr">
        <is>
          <t>Defecto</t>
        </is>
      </c>
      <c r="C25" s="7" t="inlineStr">
        <is>
          <t>Una cuenta desactivada que intentaba ingresar veía 'No pudimos iniciar sesión. Probá de nuevo en unos minutos.' (el frontend no mapeaba el estado Inactive de la API).</t>
        </is>
      </c>
      <c r="D25" s="7" t="inlineStr">
        <is>
          <t>SCRUM-20 (frontend)</t>
        </is>
      </c>
      <c r="E25" s="7" t="inlineStr">
        <is>
          <t>Corregido en dev</t>
        </is>
      </c>
      <c r="F25" s="7" t="inlineStr">
        <is>
          <t>AuthService.mapError distingue Inactive y Rejected; mensajes específicos y tests nuevos.</t>
        </is>
      </c>
    </row>
    <row r="26">
      <c r="A26" s="7" t="n">
        <v>25</v>
      </c>
      <c r="B26" s="7" t="inlineStr">
        <is>
          <t>Defecto</t>
        </is>
      </c>
      <c r="C26" s="7" t="inlineStr">
        <is>
          <t>Al guardar una ficha con fecha futura la UI mostraba el mensaje genérico 'Ocurrió un error al guardar la ficha.' aunque la API devolvía 'La fecha de ingreso no puede ser futura.'.</t>
        </is>
      </c>
      <c r="D26" s="7" t="inlineStr">
        <is>
          <t>SCRUM-5 (frontend)</t>
        </is>
      </c>
      <c r="E26" s="7" t="inlineStr">
        <is>
          <t>Corregido en dev</t>
        </is>
      </c>
      <c r="F26" s="7" t="inlineStr">
        <is>
          <t>Las pantallas de alta y edición usan extractApiError y muestran el motivo de validación.</t>
        </is>
      </c>
    </row>
    <row r="27">
      <c r="A27" s="7" t="n">
        <v>26</v>
      </c>
      <c r="B27" s="7" t="inlineStr">
        <is>
          <t>Defecto</t>
        </is>
      </c>
      <c r="C27" s="7" t="inlineStr">
        <is>
          <t>El rol Escucha veía el botón 'Editar ficha' en el detalle y el ícono de editar en el listado (la ruta /edit sí lo rechazaba con acceso denegado).</t>
        </is>
      </c>
      <c r="D27" s="7" t="inlineStr">
        <is>
          <t>SCRUM-13 / 64 (frontend)</t>
        </is>
      </c>
      <c r="E27" s="7" t="inlineStr">
        <is>
          <t>Corregido en dev</t>
        </is>
      </c>
      <c r="F27" s="7" t="inlineStr">
        <is>
          <t>Ambos controles se muestran solo con el permiso fichas.edit.</t>
        </is>
      </c>
    </row>
    <row r="28">
      <c r="A28" s="7" t="n">
        <v>27</v>
      </c>
      <c r="B28" s="7" t="inlineStr">
        <is>
          <t>Defecto</t>
        </is>
      </c>
      <c r="C28" s="7" t="inlineStr">
        <is>
          <t>Una observación con solo espacios habilitaba el botón Guardar; el backend la rechazaba con 400.</t>
        </is>
      </c>
      <c r="D28" s="7" t="inlineStr">
        <is>
          <t>SCRUM-9 (frontend)</t>
        </is>
      </c>
      <c r="E28" s="7" t="inlineStr">
        <is>
          <t>Corregido en dev</t>
        </is>
      </c>
      <c r="F28" s="7" t="inlineStr">
        <is>
          <t>El formulario valida el largo mínimo sobre el texto recortado.</t>
        </is>
      </c>
    </row>
    <row r="29">
      <c r="A29" s="7" t="n">
        <v>28</v>
      </c>
      <c r="B29" s="7" t="inlineStr">
        <is>
          <t>Pregunta abierta</t>
        </is>
      </c>
      <c r="C29" s="7" t="inlineStr">
        <is>
          <t>La API acepta crear dos fichas con el mismo DNI (201 y 201). Los colaboradores sí rechazan DNI duplicado (409).</t>
        </is>
      </c>
      <c r="D29" s="7" t="inlineStr">
        <is>
          <t>SCRUM-5 / EP-01</t>
        </is>
      </c>
      <c r="E29" s="7" t="inlineStr">
        <is>
          <t>Abierta</t>
        </is>
      </c>
      <c r="F29" s="7" t="inlineStr">
        <is>
          <t>Confirmar si el DNI debe ser único en fichas antes de agregar la regla.</t>
        </is>
      </c>
    </row>
    <row r="30">
      <c r="A30" s="7" t="n">
        <v>29</v>
      </c>
      <c r="B30" s="7" t="inlineStr">
        <is>
          <t>Pregunta abierta</t>
        </is>
      </c>
      <c r="C30" s="7" t="inlineStr">
        <is>
          <t>La API permite crear fichas al Coordinador de Casa de Convivencia (POST api/social-records), pero la UI le deniega /fichas/crear.</t>
        </is>
      </c>
      <c r="D30" s="7" t="inlineStr">
        <is>
          <t>SCRUM-13 / 64</t>
        </is>
      </c>
      <c r="E30" s="7" t="inlineStr">
        <is>
          <t>Abierta</t>
        </is>
      </c>
      <c r="F30" s="7" t="inlineStr">
        <is>
          <t>Se suma a la pregunta #20 sobre los permisos del Coordinador.</t>
        </is>
      </c>
    </row>
  </sheetData>
  <autoFilter ref="A1:F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2026-10-16T17:22:30Z</dcterms:created>
  <dcterms:modified xmlns:dcterms="http://purl.org/dc/terms/" xmlns:xsi="http://www.w3.org/2001/XMLSchema-instance" xsi:type="dcterms:W3CDTF">2026-10-16T17:22:30Z</dcterms:modified>
</cp:coreProperties>
</file>